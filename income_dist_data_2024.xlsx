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tables/table271.xml" ContentType="application/vnd.openxmlformats-officedocument.spreadsheetml.table+xml"/>
  <Override PartName="/xl/tables/table272.xml" ContentType="application/vnd.openxmlformats-officedocument.spreadsheetml.table+xml"/>
  <Override PartName="/xl/tables/table273.xml" ContentType="application/vnd.openxmlformats-officedocument.spreadsheetml.table+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tables/table28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400034\wealth_report_2022 - Copy\website\"/>
    </mc:Choice>
  </mc:AlternateContent>
  <xr:revisionPtr revIDLastSave="0" documentId="13_ncr:1_{3B341990-4E65-4567-91BE-53196DF921DF}" xr6:coauthVersionLast="47" xr6:coauthVersionMax="47" xr10:uidLastSave="{00000000-0000-0000-0000-000000000000}"/>
  <bookViews>
    <workbookView xWindow="2280" yWindow="2280" windowWidth="14400" windowHeight="7270" xr2:uid="{00000000-000D-0000-FFFF-FFFF00000000}"/>
  </bookViews>
  <sheets>
    <sheet name="Readme" sheetId="9350" r:id="rId1"/>
    <sheet name="Contents" sheetId="9349" r:id="rId2"/>
    <sheet name="1" sheetId="9266" r:id="rId3"/>
    <sheet name="2" sheetId="9267" r:id="rId4"/>
    <sheet name="3" sheetId="9268" r:id="rId5"/>
    <sheet name="4" sheetId="9269" r:id="rId6"/>
    <sheet name="5" sheetId="9270" r:id="rId7"/>
    <sheet name="6" sheetId="9271" r:id="rId8"/>
    <sheet name="7" sheetId="9272" r:id="rId9"/>
    <sheet name="8" sheetId="9273" r:id="rId10"/>
    <sheet name="9" sheetId="9274" r:id="rId11"/>
    <sheet name="10" sheetId="9275" r:id="rId12"/>
    <sheet name="11" sheetId="9276" r:id="rId13"/>
    <sheet name="12" sheetId="9277" r:id="rId14"/>
    <sheet name="13" sheetId="9278" r:id="rId15"/>
    <sheet name="14" sheetId="9279" r:id="rId16"/>
    <sheet name="15" sheetId="9280" r:id="rId17"/>
    <sheet name="16" sheetId="9281" r:id="rId18"/>
    <sheet name="17" sheetId="9282" r:id="rId19"/>
    <sheet name="18" sheetId="9283" r:id="rId20"/>
    <sheet name="19" sheetId="9284" r:id="rId21"/>
    <sheet name="20" sheetId="9285" r:id="rId22"/>
    <sheet name="21" sheetId="9286" r:id="rId23"/>
    <sheet name="22" sheetId="9287" r:id="rId24"/>
    <sheet name="23" sheetId="9288" r:id="rId25"/>
    <sheet name="24" sheetId="9289" r:id="rId26"/>
    <sheet name="25" sheetId="9290" r:id="rId27"/>
    <sheet name="26" sheetId="9291" r:id="rId28"/>
    <sheet name="27" sheetId="9292" r:id="rId29"/>
    <sheet name="28" sheetId="9293" r:id="rId30"/>
    <sheet name="29" sheetId="9294" r:id="rId31"/>
    <sheet name="30" sheetId="9295" r:id="rId32"/>
    <sheet name="31" sheetId="9296" r:id="rId33"/>
    <sheet name="32" sheetId="9297" r:id="rId34"/>
    <sheet name="33" sheetId="9298" r:id="rId35"/>
    <sheet name="34" sheetId="9299" r:id="rId36"/>
    <sheet name="35" sheetId="9300" r:id="rId37"/>
    <sheet name="36" sheetId="9301" r:id="rId38"/>
    <sheet name="37" sheetId="9302" r:id="rId39"/>
    <sheet name="38" sheetId="9303" r:id="rId40"/>
    <sheet name="39" sheetId="9304" r:id="rId41"/>
    <sheet name="40" sheetId="9305" r:id="rId42"/>
    <sheet name="41" sheetId="9306" r:id="rId43"/>
    <sheet name="42" sheetId="9307" r:id="rId44"/>
    <sheet name="43" sheetId="9308" r:id="rId45"/>
    <sheet name="44" sheetId="9309" r:id="rId46"/>
    <sheet name="45" sheetId="9310" r:id="rId47"/>
    <sheet name="46" sheetId="9311" r:id="rId48"/>
    <sheet name="47" sheetId="9312" r:id="rId49"/>
    <sheet name="48" sheetId="9313" r:id="rId50"/>
    <sheet name="49" sheetId="9314" r:id="rId51"/>
    <sheet name="50" sheetId="9315" r:id="rId52"/>
    <sheet name="51" sheetId="9316" r:id="rId53"/>
    <sheet name="52" sheetId="9317" r:id="rId54"/>
    <sheet name="53" sheetId="9318" r:id="rId55"/>
    <sheet name="54" sheetId="9319" r:id="rId56"/>
    <sheet name="55" sheetId="9320" r:id="rId57"/>
    <sheet name="56" sheetId="9321" r:id="rId58"/>
    <sheet name="57" sheetId="9322" r:id="rId59"/>
    <sheet name="58" sheetId="9323" r:id="rId60"/>
    <sheet name="59" sheetId="9324" r:id="rId61"/>
    <sheet name="60" sheetId="9325" r:id="rId62"/>
    <sheet name="61" sheetId="9326" r:id="rId63"/>
    <sheet name="62" sheetId="9327" r:id="rId64"/>
    <sheet name="63" sheetId="9328" r:id="rId65"/>
    <sheet name="64" sheetId="9329" r:id="rId66"/>
    <sheet name="65" sheetId="9330" r:id="rId67"/>
    <sheet name="66" sheetId="9331" r:id="rId68"/>
    <sheet name="67" sheetId="9332" r:id="rId69"/>
    <sheet name="68" sheetId="9333" r:id="rId70"/>
    <sheet name="69" sheetId="9334" r:id="rId71"/>
    <sheet name="70" sheetId="9335" r:id="rId72"/>
    <sheet name="71" sheetId="9336" r:id="rId73"/>
    <sheet name="72" sheetId="9337" r:id="rId74"/>
    <sheet name="73" sheetId="9338" r:id="rId75"/>
    <sheet name="74" sheetId="9339" r:id="rId76"/>
    <sheet name="75" sheetId="9340" r:id="rId77"/>
    <sheet name="76" sheetId="9341" r:id="rId78"/>
    <sheet name="77" sheetId="9342" r:id="rId79"/>
    <sheet name="78" sheetId="9343" r:id="rId80"/>
    <sheet name="79" sheetId="9344" r:id="rId81"/>
    <sheet name="80" sheetId="9345" r:id="rId82"/>
    <sheet name="81" sheetId="9346" r:id="rId83"/>
    <sheet name="82" sheetId="9347" r:id="rId84"/>
    <sheet name="83" sheetId="9348" r:id="rId8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9348" l="1"/>
  <c r="A2" i="9347"/>
  <c r="A2" i="9346"/>
  <c r="A2" i="9345"/>
  <c r="A2" i="9344"/>
  <c r="A2" i="9343"/>
  <c r="A2" i="9342"/>
  <c r="A2" i="9341"/>
  <c r="A2" i="9340"/>
  <c r="A2" i="9339"/>
  <c r="A2" i="9338"/>
  <c r="A2" i="9337"/>
  <c r="A2" i="9336"/>
  <c r="A2" i="9335"/>
  <c r="A2" i="9334"/>
  <c r="A2" i="9333"/>
  <c r="A2" i="9332"/>
  <c r="A2" i="9331"/>
  <c r="A2" i="9330"/>
  <c r="A2" i="9329"/>
  <c r="A2" i="9328"/>
  <c r="A2" i="9327"/>
  <c r="A2" i="9326"/>
  <c r="A2" i="9325"/>
  <c r="A2" i="9324"/>
  <c r="A2" i="9323"/>
  <c r="A2" i="9322"/>
  <c r="A2" i="9321"/>
  <c r="A2" i="9320"/>
  <c r="A2" i="9319"/>
  <c r="A2" i="9318"/>
  <c r="A2" i="9317"/>
  <c r="A2" i="9316"/>
  <c r="A2" i="9315"/>
  <c r="A2" i="9314"/>
  <c r="A2" i="9313"/>
  <c r="A2" i="9312"/>
  <c r="A2" i="9311"/>
  <c r="A2" i="9310"/>
  <c r="A2" i="9309"/>
  <c r="A2" i="9308"/>
  <c r="A2" i="9307"/>
  <c r="A2" i="9306"/>
  <c r="A2" i="9305"/>
  <c r="A2" i="9304"/>
  <c r="A2" i="9303"/>
  <c r="A2" i="9302"/>
  <c r="A2" i="9301"/>
  <c r="A2" i="9300"/>
  <c r="A2" i="9299"/>
  <c r="A2" i="9298"/>
  <c r="A2" i="9297"/>
  <c r="A2" i="9296"/>
  <c r="A2" i="9295"/>
  <c r="A2" i="9294"/>
  <c r="A2" i="9293"/>
  <c r="A2" i="9292"/>
  <c r="A2" i="9291"/>
  <c r="A2" i="9290"/>
  <c r="A2" i="9289"/>
  <c r="A2" i="9288"/>
  <c r="A2" i="9287"/>
  <c r="A2" i="9286"/>
  <c r="A2" i="9285"/>
  <c r="A2" i="9284"/>
  <c r="A2" i="9283"/>
  <c r="A2" i="9282"/>
  <c r="A2" i="9281"/>
  <c r="A2" i="9280"/>
  <c r="A2" i="9279"/>
  <c r="A2" i="9278"/>
  <c r="A2" i="9277"/>
  <c r="A2" i="9276"/>
  <c r="A2" i="9275"/>
  <c r="A2" i="9274"/>
  <c r="A2" i="9273"/>
  <c r="A2" i="9272"/>
  <c r="A2" i="9271"/>
  <c r="A2" i="9270"/>
  <c r="A2" i="9269"/>
  <c r="A2" i="9268"/>
  <c r="A2" i="9267"/>
  <c r="A2" i="9266"/>
  <c r="A7" i="9349"/>
  <c r="A6" i="9349"/>
  <c r="A5" i="9349"/>
  <c r="A4" i="9349"/>
  <c r="A90" i="9349"/>
  <c r="A89" i="9349"/>
  <c r="A88" i="9349"/>
  <c r="A87" i="9349"/>
  <c r="A86" i="9349"/>
  <c r="A85" i="9349"/>
  <c r="A84" i="9349"/>
  <c r="A83" i="9349"/>
  <c r="A82" i="9349"/>
  <c r="A81" i="9349"/>
  <c r="A80" i="9349"/>
  <c r="A79" i="9349"/>
  <c r="A78" i="9349"/>
  <c r="A77" i="9349"/>
  <c r="A76" i="9349"/>
  <c r="A75" i="9349"/>
  <c r="A73" i="9349"/>
  <c r="A72" i="9349"/>
  <c r="A71" i="9349"/>
  <c r="A70" i="9349"/>
  <c r="A69" i="9349"/>
  <c r="A68" i="9349"/>
  <c r="A67" i="9349"/>
  <c r="A66" i="9349"/>
  <c r="A65" i="9349"/>
  <c r="A64" i="9349"/>
  <c r="A63" i="9349"/>
  <c r="A62" i="9349"/>
  <c r="A61" i="9349"/>
  <c r="A59" i="9349"/>
  <c r="A58" i="9349"/>
  <c r="A57" i="9349"/>
  <c r="A56" i="9349"/>
  <c r="A55" i="9349"/>
  <c r="A54" i="9349"/>
  <c r="A53" i="9349"/>
  <c r="A52" i="9349"/>
  <c r="A51" i="9349"/>
  <c r="A50" i="9349"/>
  <c r="A49" i="9349"/>
  <c r="A48" i="9349"/>
  <c r="A47" i="9349"/>
  <c r="A46" i="9349"/>
  <c r="A45" i="9349"/>
  <c r="A44" i="9349"/>
  <c r="A43" i="9349"/>
  <c r="A42" i="9349"/>
  <c r="A41" i="9349"/>
  <c r="A40" i="9349"/>
  <c r="A39" i="9349"/>
  <c r="A38" i="9349"/>
  <c r="A37" i="9349"/>
  <c r="A36" i="9349"/>
  <c r="A35" i="9349"/>
  <c r="A34" i="9349"/>
  <c r="A33" i="9349"/>
  <c r="A32" i="9349"/>
  <c r="A30" i="9349"/>
  <c r="A29" i="9349"/>
  <c r="A28" i="9349"/>
  <c r="A27" i="9349"/>
  <c r="A26" i="9349"/>
  <c r="A25" i="9349"/>
  <c r="A24" i="9349"/>
  <c r="A23" i="9349"/>
  <c r="A22" i="9349"/>
  <c r="A21" i="9349"/>
  <c r="A20" i="9349"/>
  <c r="A19" i="9349"/>
  <c r="A18" i="9349"/>
  <c r="A17" i="9349"/>
  <c r="A16" i="9349"/>
  <c r="A15" i="9349"/>
  <c r="A14" i="9349"/>
  <c r="A13" i="9349"/>
  <c r="A12" i="9349"/>
  <c r="A11" i="9349"/>
  <c r="A10" i="9349"/>
  <c r="A9" i="9349"/>
</calcChain>
</file>

<file path=xl/sharedStrings.xml><?xml version="1.0" encoding="utf-8"?>
<sst xmlns="http://schemas.openxmlformats.org/spreadsheetml/2006/main" count="4650" uniqueCount="605">
  <si>
    <t>Source: Wealth and Assets Survey</t>
  </si>
  <si>
    <t>Source: Wealth and Assets Survey and Family Resources Survey</t>
  </si>
  <si>
    <t>Sample sizes</t>
  </si>
  <si>
    <t>Population estimates and coverage</t>
  </si>
  <si>
    <t>Rounding</t>
  </si>
  <si>
    <t>Unit of analysis and individual wealth</t>
  </si>
  <si>
    <t>Inflation adjustment</t>
  </si>
  <si>
    <t>Household head definition</t>
  </si>
  <si>
    <t>Contact</t>
  </si>
  <si>
    <t>Important notes</t>
  </si>
  <si>
    <t>Wealth inequality</t>
  </si>
  <si>
    <t>Financial wealth &amp; debt</t>
  </si>
  <si>
    <t>Property wealth</t>
  </si>
  <si>
    <t>Pension wealth</t>
  </si>
  <si>
    <t>Total wealth</t>
  </si>
  <si>
    <t>Table of contents</t>
  </si>
  <si>
    <t>1b Sample sizes, Scotland</t>
  </si>
  <si>
    <t>1a Median (inflation-adjusted) household wealth in £, Scotland</t>
  </si>
  <si>
    <t>1 Median household wealth</t>
  </si>
  <si>
    <t>2b Sample sizes by type of wealth, Scotland 2020-2022</t>
  </si>
  <si>
    <t>2a Median household wealth in £ by type of wealth, Scotland 2020-2022</t>
  </si>
  <si>
    <t>2 Household wealth by type of wealth</t>
  </si>
  <si>
    <t>3b Sample sizes by type of wealth, Scotland</t>
  </si>
  <si>
    <t>3a Median (inflation-adjusted) household wealth in £ by type of wealth, Scotland</t>
  </si>
  <si>
    <t>3 Household wealth by type of wealth (time series)</t>
  </si>
  <si>
    <t>4b Sample sizes by type of wealth and age of household head, Scotland 2020-2022</t>
  </si>
  <si>
    <t>4a Median household wealth in £ by type of wealth and age of household head, Scotland 2020-2022</t>
  </si>
  <si>
    <t>4 Household wealth by wealth type and age</t>
  </si>
  <si>
    <t>5b Sample sizes, Scotland 2020-2022</t>
  </si>
  <si>
    <t>5a Share of total wealth (negative wealth set to zero) and of total household income in each 2% wealth / income band, Scotland 2020-2022</t>
  </si>
  <si>
    <t>5 Wealth inequality and income inequality</t>
  </si>
  <si>
    <t>6b Median age of household head by wealth decile, Scotland 2020-2022</t>
  </si>
  <si>
    <t>6c Sample sizes by wealth decile, Scotland 2020-2022</t>
  </si>
  <si>
    <t>6a Median household wealth in £ by wealth decile, Scotland 2020-2022</t>
  </si>
  <si>
    <t>6 Household wealth by wealth decile</t>
  </si>
  <si>
    <t>7b Median age of household head by wealth decile, Scotland</t>
  </si>
  <si>
    <t>7c Sample sizes by wealth decile, Scotland</t>
  </si>
  <si>
    <t>7a Median (inflation-adjusted) household wealth in £ by wealth decile, Scotland</t>
  </si>
  <si>
    <t>7 Household wealth by wealth decile (time series)</t>
  </si>
  <si>
    <t>8b Sample sizes, Scotland 2020-2022</t>
  </si>
  <si>
    <t>8a Share of age groups (age of household head) in each wealth decile, Scotland 2020-2022</t>
  </si>
  <si>
    <t>8 Age groups in each wealth decile</t>
  </si>
  <si>
    <t>9b Sample sizes, Scotland</t>
  </si>
  <si>
    <t>9a Gini coefficient of wealth inequality, Scotland</t>
  </si>
  <si>
    <t>9 Gini coefficient of wealth inequality</t>
  </si>
  <si>
    <t>10b Sample sizes, Scotland</t>
  </si>
  <si>
    <t>10a Palma ratio of wealth inequality, Scotland</t>
  </si>
  <si>
    <t>10 Palma ratio of wealth inequality</t>
  </si>
  <si>
    <t>11b Sample sizes, Scotland</t>
  </si>
  <si>
    <t>11a Share of total wealth of the 40% least wealthy, the middle 50%, the 10% wealthiest and the 1% wealthiest households, Scotland</t>
  </si>
  <si>
    <t>11 Total wealth of the 40% least wealthy, the middle 50%, the 10% wealthiest and the 1% wealthiest households</t>
  </si>
  <si>
    <t>12b Sample sizes, Scotland</t>
  </si>
  <si>
    <t>12a Absolute (inflation-adjusted) wealth gap in £ between the wealthiest 10% and the least wealthy 40%, Scotland</t>
  </si>
  <si>
    <t>12 Absolute wealth gap between the wealthiest 10% and the least wealthy 40%</t>
  </si>
  <si>
    <t>13b Sample sizes, Scotland</t>
  </si>
  <si>
    <t>13a Gini coefficient of wealth inequality by type of wealth, Scotland</t>
  </si>
  <si>
    <t>13 Gini coefficient by type of wealth</t>
  </si>
  <si>
    <t>14b Median age by age group, Scotland</t>
  </si>
  <si>
    <t>14c Sample sizes by age, Scotland</t>
  </si>
  <si>
    <t>14a Median (inflation-adjusted) individual wealth in £ by age, Scotland</t>
  </si>
  <si>
    <t>14 Individual wealth by age</t>
  </si>
  <si>
    <t>15b Median age of adults by economic status, Scotland</t>
  </si>
  <si>
    <t>15c Sample sizes by economic status, Scotland</t>
  </si>
  <si>
    <t>15a Median (inflation-adjusted) individual wealth in £ of adults by economic status, Scotland</t>
  </si>
  <si>
    <t>15 Individual wealth by economic status</t>
  </si>
  <si>
    <t>16b Median age of adults by qualification, Scotland</t>
  </si>
  <si>
    <t>16c Sample sizes by qualification, Scotland</t>
  </si>
  <si>
    <t>16a Median (inflation-adjusted) individual wealth in £ of adults by qualification, Scotland</t>
  </si>
  <si>
    <t>16 Individual wealth by qualification</t>
  </si>
  <si>
    <t>17b Median age of adults by marital status, Scotland</t>
  </si>
  <si>
    <t>17c Sample sizes by marital status, Scotland</t>
  </si>
  <si>
    <t>17a Median (inflation-adjusted) individual wealth in £ of adults by marital status, Scotland</t>
  </si>
  <si>
    <t>17 Individual wealth by marital status</t>
  </si>
  <si>
    <t>18b Median age of adults by sexual orientation, Scotland</t>
  </si>
  <si>
    <t>18c Sample sizes by sexual orientation, Scotland</t>
  </si>
  <si>
    <t>18a Median (inflation-adjusted) individual wealth in £ of adults by sexual orientation, Scotland</t>
  </si>
  <si>
    <t>18 Individual wealth by sexual orientation</t>
  </si>
  <si>
    <t>19b Median age of adults by religion, Scotland</t>
  </si>
  <si>
    <t>19c Sample sizes by religion, Scotland</t>
  </si>
  <si>
    <t>19a Median (inflation-adjusted) individual wealth in £ of adults by religion, Scotland</t>
  </si>
  <si>
    <t>19 Individual wealth by religion</t>
  </si>
  <si>
    <t>20b Median age of adults by ethnicity, Scotland</t>
  </si>
  <si>
    <t>20c Sample sizes by ethnicity, Scotland</t>
  </si>
  <si>
    <t>20a Median (inflation-adjusted) individual wealth in £ of adults by ethnicity, Scotland</t>
  </si>
  <si>
    <t>20 Individual wealth by ethnicity</t>
  </si>
  <si>
    <t>21b Median age of adults by whether they are disabled, Scotland</t>
  </si>
  <si>
    <t>21c Sample sizes of adults by whether they are disabled, Scotland</t>
  </si>
  <si>
    <t>21a Median (inflation-adjusted) individual wealth in £ of adults by whether they are disabled, Scotland</t>
  </si>
  <si>
    <t>21 Individual wealth by disability</t>
  </si>
  <si>
    <t>22b Median age of adults by sex, Scotland</t>
  </si>
  <si>
    <t>22c Sample sizes by sex, Scotland</t>
  </si>
  <si>
    <t>22a Median (inflation-adjusted) individual wealth in £ of adults by sex, Scotland</t>
  </si>
  <si>
    <t>22 Individual wealth by sex</t>
  </si>
  <si>
    <t>23b Median age of household head by household type, Scotland</t>
  </si>
  <si>
    <t>23c Sample sizes by household type, Scotland</t>
  </si>
  <si>
    <t>23a Median (inflation-adjusted) household wealth in £ by equivalised household income (20%-band), Scotland</t>
  </si>
  <si>
    <t>23 Household wealth by household income quintile</t>
  </si>
  <si>
    <t>24b Median age of household head by household type, Scotland</t>
  </si>
  <si>
    <t>24c Sample sizes by household type, Scotland</t>
  </si>
  <si>
    <t>24a Median (inflation-adjusted) household wealth in £ by household type, Scotland</t>
  </si>
  <si>
    <t>24 Household wealth by household type</t>
  </si>
  <si>
    <t>25b Median age of household head by tenure, Scotland</t>
  </si>
  <si>
    <t>25c Sample sizes by tenure, Scotland</t>
  </si>
  <si>
    <t>25a Median (inflation-adjusted) household wealth in £ by tenure, Scotland</t>
  </si>
  <si>
    <t>25 Household wealth by housing tenure</t>
  </si>
  <si>
    <t>26b Median age of household head in urban and rural areas, Scotland</t>
  </si>
  <si>
    <t>26c Sample sizes in urban and rural areas, Scotland</t>
  </si>
  <si>
    <t>26a Median (inflation-adjusted) household wealth in £ in urban and rural areas, Scotland</t>
  </si>
  <si>
    <t>26 Household wealth in urban and rural areas</t>
  </si>
  <si>
    <t>27b Median age of household head by financial wealth decile, Scotland 2020-2022</t>
  </si>
  <si>
    <t>27c Sample sizes by financial wealth decile, Scotland 2020-2022</t>
  </si>
  <si>
    <t>27a Median net financial wealth in £ by financial wealth decile, Scotland 2020-2022</t>
  </si>
  <si>
    <t>27 Median financial wealth by financial wealth decile</t>
  </si>
  <si>
    <t>28b Median age of household head by financial wealth decile, Scotland</t>
  </si>
  <si>
    <t>28c Sample sizes by financial wealth decile, Scotland</t>
  </si>
  <si>
    <t>28a Median (inflation-adjusted) net financial wealth in £ by financial wealth decile, Scotland</t>
  </si>
  <si>
    <t>28 Median financial wealth by financial wealth decile (time series)</t>
  </si>
  <si>
    <t>29b Sample sizes (households), Scotland</t>
  </si>
  <si>
    <t>29c Share of adults who report they would be able to make ends meet for different lengths of time should they lose their main source of income, Scotland</t>
  </si>
  <si>
    <t>29d Sample sizes (adults), Scotland</t>
  </si>
  <si>
    <t>29a Share of households whose savings, if replacing all income, would keep them above the poverty line for different lengths of time, Scotland</t>
  </si>
  <si>
    <t>29 Financial vulnerability and resilience</t>
  </si>
  <si>
    <t>30b Composition of financially vulnerable households by household type, Scotland</t>
  </si>
  <si>
    <t>30c Median age of household head by household type, Scotland</t>
  </si>
  <si>
    <t>30d Sample sizes by household type, Scotland</t>
  </si>
  <si>
    <t>30a Proportion of households who are financially vulnerable by household type, Scotland</t>
  </si>
  <si>
    <t>30 Financial vulnerability by household type</t>
  </si>
  <si>
    <t>31b Composition of financially vulnerable households by economic status of the household head, Scotland</t>
  </si>
  <si>
    <t>31c Median age of household head by economic status of the household head, Scotland</t>
  </si>
  <si>
    <t>31d Sample sizes by economic status of the household head, Scotland</t>
  </si>
  <si>
    <t>31a Proportion of households who are financially vulnerable by economic status of the household head, Scotland</t>
  </si>
  <si>
    <t>31 Financial vulnerability by economic status</t>
  </si>
  <si>
    <t>32b Composition of financially vulnerable households by housing tenure, Scotland</t>
  </si>
  <si>
    <t>32c Median age of household head by housing tenure, Scotland</t>
  </si>
  <si>
    <t>32d Sample sizes by housing tenure, Scotland</t>
  </si>
  <si>
    <t>32a Proportion of households who are financially vulnerable by housing tenure, Scotland</t>
  </si>
  <si>
    <t>32 Financial vulnerability by housing tenure</t>
  </si>
  <si>
    <t>33b Composition of financially vulnerable households by equivalised household income quintile (20%-band), Scotland</t>
  </si>
  <si>
    <t>33c Median age of household head by equivalised household income quintile (20%-band), Scotland</t>
  </si>
  <si>
    <t>33d Sample sizes by equivalised household income quintile (20%-band), Scotland</t>
  </si>
  <si>
    <t>33a Proportion of households who are financially vulnerable by equivalised household income quintile (20%-band), Scotland</t>
  </si>
  <si>
    <t>33 Financial vulnerability by income</t>
  </si>
  <si>
    <t>34b Composition of financially vulnerable households by qualification of the household head, Scotland</t>
  </si>
  <si>
    <t>34c Median age of household head by qualification of the household head, Scotland</t>
  </si>
  <si>
    <t>34d Sample sizes by qualification of the household head, Scotland</t>
  </si>
  <si>
    <t>34a Proportion of households who are financially vulnerable by qualification of the household head, Scotland</t>
  </si>
  <si>
    <t>34 Financial vulnerability by qualification</t>
  </si>
  <si>
    <t>35b Composition of financially vulnerable households by age of the household head, Scotland</t>
  </si>
  <si>
    <t>35c Median age of household head by age of the household head, Scotland</t>
  </si>
  <si>
    <t>35d Sample sizes by age of the household head, Scotland</t>
  </si>
  <si>
    <t>35a Proportion of households who are financially vulnerable by age of the household head, Scotland</t>
  </si>
  <si>
    <t>35 Financial vulnerability by age</t>
  </si>
  <si>
    <t>36b Composition of financially vulnerable households by marital status of the household head, Scotland</t>
  </si>
  <si>
    <t>36c Median age of household head by marital status of the household head, Scotland</t>
  </si>
  <si>
    <t>36d Sample sizes by marital status of the household head, Scotland</t>
  </si>
  <si>
    <t>36a Proportion of households who are financially vulnerable by marital status of the household head, Scotland</t>
  </si>
  <si>
    <t>36 Financial vulnerability by marital status</t>
  </si>
  <si>
    <t>37b Composition of financially vulnerable households by whether there are dependent children living in the household, Scotland</t>
  </si>
  <si>
    <t>37c Median age of household head by whether there are dependent children living in the household, Scotland</t>
  </si>
  <si>
    <t>37d Sample sizes by whether there are dependent children living in the household, Scotland</t>
  </si>
  <si>
    <t>37a Proportion of households who are financially vulnerable by whether there are dependent children living in the household, Scotland</t>
  </si>
  <si>
    <t>37 Financial vulnerability by whether there are children in the household</t>
  </si>
  <si>
    <t>38b Composition of financially vulnerable households by whether there are disabled household members, Scotland</t>
  </si>
  <si>
    <t>38c Median age of household head by whether there are disabled household members, Scotland</t>
  </si>
  <si>
    <t>38a Proportion of households who are financially vulnerable by whether there are disabled household members, Scotland</t>
  </si>
  <si>
    <t>38 Financial vulnerability by disability</t>
  </si>
  <si>
    <t>39b Composition of financially vulnerable households by sex of the household head, Scotland</t>
  </si>
  <si>
    <t>39c Median age of household head by sex of the household head, Scotland</t>
  </si>
  <si>
    <t>39d Sample sizes by sex of the household head, Scotland</t>
  </si>
  <si>
    <t>39a Proportion of households who are financially vulnerable by sex of the household head, Scotland</t>
  </si>
  <si>
    <t>39 Financial vulnerability by sex</t>
  </si>
  <si>
    <t>40b Composition of financially vulnerable households in urban and rural areas, Scotland</t>
  </si>
  <si>
    <t>40c Median age of household head in urban and rural areas, Scotland</t>
  </si>
  <si>
    <t>40d Sample sizes in urban and rural areas, Scotland</t>
  </si>
  <si>
    <t>40a Proportion of households who are financially vulnerable in urban and rural areas, Scotland</t>
  </si>
  <si>
    <t>40 Financial vulnerability in urban and rural areas</t>
  </si>
  <si>
    <t>41b Composition of financially vulnerable households by ethnicity of the household head, Scotland</t>
  </si>
  <si>
    <t>41c Median age of household head by ethnicity of the household head, Scotland</t>
  </si>
  <si>
    <t>41d Sample sizes by ethnicity of the household head, Scotland</t>
  </si>
  <si>
    <t>41a Proportion of households who are financially vulnerable by ethnicity of the household head, Scotland</t>
  </si>
  <si>
    <t>41 Financial vulnerability by ethnicity</t>
  </si>
  <si>
    <t>42b Median age of household head, Scotland</t>
  </si>
  <si>
    <t>42c Sample sizes, Scotland</t>
  </si>
  <si>
    <t>42a Proportion of households with unmanageable debt, Scotland</t>
  </si>
  <si>
    <t>42 Households with unmanageable debt</t>
  </si>
  <si>
    <t>43b Composition of households with unmanageable debt by economic status of the household head, Scotland</t>
  </si>
  <si>
    <t>43c Median age of household head by economic status of the household head, Scotland</t>
  </si>
  <si>
    <t>43d Sample sizes by economic status of the household head, Scotland</t>
  </si>
  <si>
    <t>43a Proportion of households with unmanageable debt by economic status of the household head, Scotland</t>
  </si>
  <si>
    <t>43 Households with unmanageable debt by economic status</t>
  </si>
  <si>
    <t>44b Composition of households with unmanageable debt by household type, Scotland</t>
  </si>
  <si>
    <t>44c Median age of household head by household type, Scotland</t>
  </si>
  <si>
    <t>44d Sample sizes by household type, Scotland</t>
  </si>
  <si>
    <t>44a Proportion of households with unmanageable debt by household type, Scotland</t>
  </si>
  <si>
    <t>44 Households with unmanageable debt by household type</t>
  </si>
  <si>
    <t>45b Composition of households with unmanageable debt by housing tenure, Scotland</t>
  </si>
  <si>
    <t>45c Median age of household head by housing tenure, Scotland</t>
  </si>
  <si>
    <t>45d Sample sizes by housing tenure, Scotland</t>
  </si>
  <si>
    <t>45a Proportion of households with unmanageable debt by housing tenure, Scotland</t>
  </si>
  <si>
    <t>45 Households with unmanageable debt by housing tenure</t>
  </si>
  <si>
    <t>46b Composition of households with unmanageable debt by ethnicity of the household head, Scotland</t>
  </si>
  <si>
    <t>46c Median age of household head by ethnicity of the household head, Scotland</t>
  </si>
  <si>
    <t>46d Sample sizes by ethnicity of the household head, Scotland</t>
  </si>
  <si>
    <t>46a Proportion of households with unmanageable debt by ethnicity of the household head, Scotland</t>
  </si>
  <si>
    <t>46 Households with unmanageable debt by ethnicity</t>
  </si>
  <si>
    <t>47b Composition of households with unmanageable debt by age of the household head, Scotland</t>
  </si>
  <si>
    <t>47c Median age of household head by age of the household head, Scotland</t>
  </si>
  <si>
    <t>47d Sample sizes by age of the household head, Scotland</t>
  </si>
  <si>
    <t>47a Proportion of households with unmanageable debt by age of the household head, Scotland</t>
  </si>
  <si>
    <t>47 Households with unmanageable debt by age</t>
  </si>
  <si>
    <t>48b Composition of households with unmanageable debt by whether there are dependent children living in the household, Scotland</t>
  </si>
  <si>
    <t>48c Median age of household head by whether there are dependent children living in the household, Scotland</t>
  </si>
  <si>
    <t>48d Sample sizes by whether there are dependent children living in the household, Scotland</t>
  </si>
  <si>
    <t>48a Proportion of households with unmanageable debt by whether there are dependent children living in the household, Scotland</t>
  </si>
  <si>
    <t>48 Households with unmanageable debt by whether there are children in the household</t>
  </si>
  <si>
    <t>49b Composition of households with unmanageable debt by equivalised household income quintile, Scotland</t>
  </si>
  <si>
    <t>49c Median age of household head by equivalised household income quintile, Scotland</t>
  </si>
  <si>
    <t>49d Sample sizes by equivalised household income quintile, Scotland</t>
  </si>
  <si>
    <t>49a Proportion of households with unmanageable debt by equivalised household income quintile, Scotland</t>
  </si>
  <si>
    <t>49 Households with unmanageable debt by income</t>
  </si>
  <si>
    <t>50b Composition of households with unmanageable debt by marital status of the household head, Scotland</t>
  </si>
  <si>
    <t>50c Median age of household head by marital status of the household head, Scotland</t>
  </si>
  <si>
    <t>50d Sample sizes by marital status of the household head, Scotland</t>
  </si>
  <si>
    <t>50a Proportion of households with unmanageable debt by marital status of the household head, Scotland</t>
  </si>
  <si>
    <t>50 Households with unmanageable debt by marital status</t>
  </si>
  <si>
    <t>51b Composition of households with unmanageable debt by whether there are disabled household members, Scotland</t>
  </si>
  <si>
    <t>51c Median age of household head by whether there are disabled household members, Scotland</t>
  </si>
  <si>
    <t>51d Sample sizes by whether there are disabled household members, Scotland</t>
  </si>
  <si>
    <t>51a Proportion of households with unmanageable debt by whether there are disabled household members, Scotland</t>
  </si>
  <si>
    <t>51 Households with unmanageable debt by disability</t>
  </si>
  <si>
    <t>52b Composition of households with unmanageable debt by qualification of the household head, Scotland</t>
  </si>
  <si>
    <t>52c Median age of household head by qualification of the household head, Scotland</t>
  </si>
  <si>
    <t>52d Sample sizes by qualification of the household head, Scotland</t>
  </si>
  <si>
    <t>52a Proportion of households with unmanageable debt by qualification of the household head, Scotland</t>
  </si>
  <si>
    <t>52 Households with unmanageable debt by qualification</t>
  </si>
  <si>
    <t>53b Composition of households with unmanageable debt by sex of the household head, Scotland</t>
  </si>
  <si>
    <t>53c Median age of household head by sex of the household head, Scotland</t>
  </si>
  <si>
    <t>53d Sample sizes by sex of the household head, Scotland</t>
  </si>
  <si>
    <t>53a Proportion of households with unmanageable debt by sex of the household head, Scotland</t>
  </si>
  <si>
    <t>53 Households with unmanageable debt by sex</t>
  </si>
  <si>
    <t>54b Composition of households with unmanageable debt in urban and rural areas, Scotland</t>
  </si>
  <si>
    <t>54c Median age of household head in urban and rural areas, Scotland</t>
  </si>
  <si>
    <t>54d Sample sizes in urban and rural areas, Scotland</t>
  </si>
  <si>
    <t>54a Proportion of households with unmanageable debt in urban and rural areas, Scotland</t>
  </si>
  <si>
    <t>54 Households with unmanageable debt in urban and rural areas</t>
  </si>
  <si>
    <t>55b Median age of household head by property wealth decile, Scotland 2020-2022</t>
  </si>
  <si>
    <t>55c Sample sizes by property wealth decile, Scotland 2020-2022</t>
  </si>
  <si>
    <t>55a Median net property wealth in £ by property wealth decile, Scotland 2020-2022</t>
  </si>
  <si>
    <t>55 Median property wealth by property wealth decile</t>
  </si>
  <si>
    <t>56b Median age of household head by property wealth decile, Scotland</t>
  </si>
  <si>
    <t>56c Sample sizes by property wealth decile, Scotland</t>
  </si>
  <si>
    <t>56a Median (inflation-adjusted) net property wealth in £ by property wealth decile, Scotland</t>
  </si>
  <si>
    <t>56 Median property wealth by property wealth decile (time series)</t>
  </si>
  <si>
    <t>57b Composition of households with property wealth by household type, Scotland</t>
  </si>
  <si>
    <t>57c Median age of household head by household type, Scotland</t>
  </si>
  <si>
    <t>57d Sample sizes by household type, Scotland</t>
  </si>
  <si>
    <t>57a Proportion of households with property wealth by household type, Scotland</t>
  </si>
  <si>
    <t>57 Households with property wealth by household type</t>
  </si>
  <si>
    <t>58b Composition of households with property wealth by equivalised household income quintile, Scotland</t>
  </si>
  <si>
    <t>58c Median age of household head by equivalised household income quintile, Scotland</t>
  </si>
  <si>
    <t>58d Sample sizes by equivalised household income quintile, Scotland</t>
  </si>
  <si>
    <t>58a Proportion of households with property wealth by equivalised household income quintile, Scotland</t>
  </si>
  <si>
    <t>58 Households with property wealth by income</t>
  </si>
  <si>
    <t>59b Composition of households with property wealth by economic status of the household head, Scotland</t>
  </si>
  <si>
    <t>59c Median age of household head by economic status of the household head, Scotland</t>
  </si>
  <si>
    <t>59d Sample sizes by economic status of the household head, Scotland</t>
  </si>
  <si>
    <t>59a Proportion of households with property wealth by economic status of the household head, Scotland</t>
  </si>
  <si>
    <t>59 Households with property wealth by economic status</t>
  </si>
  <si>
    <t>60b Composition of households with property wealth by qualification of the household head, Scotland</t>
  </si>
  <si>
    <t>60c Median age of household head by qualification of the household head, Scotland</t>
  </si>
  <si>
    <t>60d Sample sizes by qualification of the household head, Scotland</t>
  </si>
  <si>
    <t>60a Proportion of households with property wealth by qualification of the household head, Scotland</t>
  </si>
  <si>
    <t>60 Households with property wealth by qualification</t>
  </si>
  <si>
    <t>61b Composition of households with property wealth by marital status of the household head, Scotland</t>
  </si>
  <si>
    <t>61c Median age of household head by marital status of the household head, Scotland</t>
  </si>
  <si>
    <t>61d Sample sizes by marital status of the household head, Scotland</t>
  </si>
  <si>
    <t>61a Proportion of households with property wealth by marital status of the household head, Scotland</t>
  </si>
  <si>
    <t>61 Households with property wealth by marital status</t>
  </si>
  <si>
    <t>62b Composition of households with property wealth by age of the household head, Scotland</t>
  </si>
  <si>
    <t>62c Median age of household head by age of the household head, Scotland</t>
  </si>
  <si>
    <t>62d Sample sizes by age of the household head, Scotland</t>
  </si>
  <si>
    <t>62a Proportion of households with property wealth by age of the household head, Scotland</t>
  </si>
  <si>
    <t>62 Households with property wealth by age</t>
  </si>
  <si>
    <t>63b Composition of households with property wealth by whether there are disabled household members, Scotland</t>
  </si>
  <si>
    <t>63c Median age of household head by whether there are disabled household members, Scotland</t>
  </si>
  <si>
    <t>63d Sample sizes by whether there are disabled household members, Scotland</t>
  </si>
  <si>
    <t>63a Proportion of households with property wealth by whether there are disabled household members, Scotland</t>
  </si>
  <si>
    <t>63 Households with property wealth by disability</t>
  </si>
  <si>
    <t>64b Composition of households with property wealth by ethnicity of the household head, Scotland</t>
  </si>
  <si>
    <t>64c Median age of household head by ethnicity of the household head, Scotland</t>
  </si>
  <si>
    <t>64d Sample sizes by ethnicity of the household head, Scotland</t>
  </si>
  <si>
    <t>64a Proportion of households with property wealth by ethnicity of the household head, Scotland</t>
  </si>
  <si>
    <t>64 Households with property wealth by ethnicity</t>
  </si>
  <si>
    <t>65b Composition of households with property wealth by sex of the household head, Scotland</t>
  </si>
  <si>
    <t>65c Median age of household head by sex of the household head, Scotland</t>
  </si>
  <si>
    <t>65d Sample sizes by sex of the household head, Scotland</t>
  </si>
  <si>
    <t>65a Proportion of households with property wealth by sex of the household head, Scotland</t>
  </si>
  <si>
    <t>65 Households with property wealth by sex</t>
  </si>
  <si>
    <t>66b Composition of households with property wealth in urban and rural areas, Scotland</t>
  </si>
  <si>
    <t>66c Median age of household head in urban and rural areas, Scotland</t>
  </si>
  <si>
    <t>66d Sample sizes in urban and rural areas, Scotland</t>
  </si>
  <si>
    <t>66a Proportion of households with property wealth in urban and rural areas, Scotland</t>
  </si>
  <si>
    <t>66 Households with property wealth in urban and rural areas</t>
  </si>
  <si>
    <t>67b Composition of households with property wealth by whether there are dependent children living in the household, Scotland</t>
  </si>
  <si>
    <t>67c Median age of household head by whether there are dependent children living in the household, Scotland</t>
  </si>
  <si>
    <t>67d Sample sizes by whether there are dependent children living in the household, Scotland</t>
  </si>
  <si>
    <t>67a Proportion of households with property wealth by whether there are dependent children living in the household, Scotland</t>
  </si>
  <si>
    <t>67 Households with property wealth by whether there are children in the household</t>
  </si>
  <si>
    <t>68b Median age by pension wealth decile, Scotland 2020-2022</t>
  </si>
  <si>
    <t>68c Sample sizes by pension wealth decile, Scotland 2020-2022</t>
  </si>
  <si>
    <t>68a Median individual pension wealth in £ by pension wealth decile, Scotland 2020-2022</t>
  </si>
  <si>
    <t>68 Median pension wealth by pension wealth decile</t>
  </si>
  <si>
    <t>69b Median age by pension wealth decile, Scotland</t>
  </si>
  <si>
    <t>69c Sample sizes by pension wealth decile, Scotland</t>
  </si>
  <si>
    <t>69a Median individual (inflation-adjusted) pension wealth in £ by pension wealth decile, Scotland</t>
  </si>
  <si>
    <t>69 Median pension wealth by pension wealth decile (time series)</t>
  </si>
  <si>
    <t>70b Sample sizes, Scotland 2020-2022</t>
  </si>
  <si>
    <t>70a Proportion of adult men and women with private pensions (not yet in payment) by age, Scotland 2020-2022</t>
  </si>
  <si>
    <t>70 Adult men and women with private pensions (not yet in payment) by age</t>
  </si>
  <si>
    <t>71b Composition of adults with private pensions (not yet in payment), Scotland</t>
  </si>
  <si>
    <t>71c Sample sizes, Scotland</t>
  </si>
  <si>
    <t>71a Proportion of adult men and women with private pensions (not yet in payment), Scotland</t>
  </si>
  <si>
    <t>71 Adult men and women with private pensions (not yet in payment) (time series)</t>
  </si>
  <si>
    <t>72b Sample sizes, Scotland 2020-2022</t>
  </si>
  <si>
    <t>72a Proportion of adult men and women with private pensions in payment by age, Scotland 2020-2022</t>
  </si>
  <si>
    <t>72 Adult men and women with private pensions in payment by age</t>
  </si>
  <si>
    <t>73b Composition of adults with private pensions in payment, Scotland</t>
  </si>
  <si>
    <t>73c Sample sizes, Scotland</t>
  </si>
  <si>
    <t>73a Proportion of adult men and women with private pensions in payment, Scotland</t>
  </si>
  <si>
    <t>73 Adult men and women with private pensions in payment (time series)</t>
  </si>
  <si>
    <t>74b Composition of adults with private pension wealth by equivalised household income quintile, Scotland</t>
  </si>
  <si>
    <t>74c Median age by equivalised household income quintile, Scotland</t>
  </si>
  <si>
    <t>74d Sample sizes by equivalised household income quintile, Scotland</t>
  </si>
  <si>
    <t>74a Proportion of adults with private pension wealth by equivalised household income quintile, Scotland</t>
  </si>
  <si>
    <t>74 Adults with private pension wealth by income</t>
  </si>
  <si>
    <t>75b Composition of adults with private pension wealth by qualification, Scotland</t>
  </si>
  <si>
    <t>75c Median age by qualification, Scotland</t>
  </si>
  <si>
    <t>75d Sample sizes by qualification, Scotland</t>
  </si>
  <si>
    <t>75a Proportion of adults with private pension wealth by qualification, Scotland</t>
  </si>
  <si>
    <t>75 Adults with private pension wealth by qualification</t>
  </si>
  <si>
    <t>76b Composition of adults with private pension wealth by economic status, Scotland</t>
  </si>
  <si>
    <t>76c Median age by economic status, Scotland</t>
  </si>
  <si>
    <t>76d Sample sizes by economic status, Scotland</t>
  </si>
  <si>
    <t>76a Proportion of adults with private pension wealth by economic status, Scotland</t>
  </si>
  <si>
    <t>76 Adults with private pension wealth by economic status</t>
  </si>
  <si>
    <t>77b Composition of adults with private pension wealth by sexual orientation, Scotland</t>
  </si>
  <si>
    <t>77c Median age by sexual orientation, Scotland</t>
  </si>
  <si>
    <t>77d Sample sizes by sexual orientation, Scotland</t>
  </si>
  <si>
    <t>77a Proportion of adults with private pension wealth by sexual orientation, Scotland</t>
  </si>
  <si>
    <t>77 Adults with private pension wealth by sexual orientation</t>
  </si>
  <si>
    <t>78b Composition of adults with private pension wealth by marital status, Scotland</t>
  </si>
  <si>
    <t>78c Median age by marital status, Scotland</t>
  </si>
  <si>
    <t>78d Sample sizes by marital status, Scotland</t>
  </si>
  <si>
    <t>78a Proportion of adults with private pension wealth by marital status, Scotland</t>
  </si>
  <si>
    <t>78 Adults with private pension wealth by marital status</t>
  </si>
  <si>
    <t>79b Composition of adults with private pension wealth by age, Scotland</t>
  </si>
  <si>
    <t>79c Median age by age, Scotland</t>
  </si>
  <si>
    <t>79d Sample sizes by age, Scotland</t>
  </si>
  <si>
    <t>79a Proportion of adults with private pension wealth by age, Scotland</t>
  </si>
  <si>
    <t>79 Adults with private pension wealth by age</t>
  </si>
  <si>
    <t>80b Composition of adults with private pension wealth by religion, Scotland</t>
  </si>
  <si>
    <t>80c Median age by religion, Scotland</t>
  </si>
  <si>
    <t>80d Sample sizes by religion, Scotland</t>
  </si>
  <si>
    <t>80a Proportion of adults with private pension wealth by religion, Scotland</t>
  </si>
  <si>
    <t>80 Adults with private pension wealth by religion</t>
  </si>
  <si>
    <t>81b Composition of adults with private pension wealth by ethnicity, Scotland</t>
  </si>
  <si>
    <t>81c Median age by ethnicity, Scotland</t>
  </si>
  <si>
    <t>81d Sample sizes by ethnicity, Scotland</t>
  </si>
  <si>
    <t>81a Proportion of adults with private pension wealth by ethnicity, Scotland</t>
  </si>
  <si>
    <t>81 Adults with private pension wealth by ethnicity</t>
  </si>
  <si>
    <t>82b Composition of adults with private pension wealth by whether they are disabled, Scotland</t>
  </si>
  <si>
    <t>82c Median age by whether they are disabled, Scotland</t>
  </si>
  <si>
    <t>82d Sample sizes by whether they are disabled, Scotland</t>
  </si>
  <si>
    <t>82a Proportion of adults with private pension wealth by whether they are disabled, Scotland</t>
  </si>
  <si>
    <t>82 Adults with private pension wealth by disability</t>
  </si>
  <si>
    <t>83b Composition of adults with private pension wealth by sex, Scotland</t>
  </si>
  <si>
    <t>83c Median age by sex, Scotland</t>
  </si>
  <si>
    <t>83d Sample sizes by sex, Scotland</t>
  </si>
  <si>
    <t>83a Proportion of adults with private pension wealth by sex, Scotland</t>
  </si>
  <si>
    <t>83 Adults with private pension wealth by sex</t>
  </si>
  <si>
    <t>38d Sample sizes by whether there are disabled household members, Scotland</t>
  </si>
  <si>
    <t xml:space="preserve"> </t>
  </si>
  <si>
    <t>Missing data</t>
  </si>
  <si>
    <t>Source: Wealth and Assets Survey (wealth) and Family Resources Survey (income)</t>
  </si>
  <si>
    <t>Source: Wealth and Assets Survey and Family Resources Survey  (poverty line)</t>
  </si>
  <si>
    <t>This worksheet contains two tables presented below each other, with the first table showing the key estimates and the second table providing sample sizes.</t>
  </si>
  <si>
    <t>Group</t>
  </si>
  <si>
    <t>2006-2008</t>
  </si>
  <si>
    <t>2008-2010</t>
  </si>
  <si>
    <t>2010-2012</t>
  </si>
  <si>
    <t>2012-2014</t>
  </si>
  <si>
    <t>2014-2016</t>
  </si>
  <si>
    <t>2016-2018</t>
  </si>
  <si>
    <t>2018-2020</t>
  </si>
  <si>
    <t>2020-2022</t>
  </si>
  <si>
    <t>All</t>
  </si>
  <si>
    <t>[b]</t>
  </si>
  <si>
    <t>Note: Includes all households, whether or not they have each type of wealth.</t>
  </si>
  <si>
    <t>Type</t>
  </si>
  <si>
    <t>Median</t>
  </si>
  <si>
    <t>Financial</t>
  </si>
  <si>
    <t>Physical</t>
  </si>
  <si>
    <t>Property</t>
  </si>
  <si>
    <t>Pension</t>
  </si>
  <si>
    <t>Sample</t>
  </si>
  <si>
    <t>Age</t>
  </si>
  <si>
    <t>Total</t>
  </si>
  <si>
    <t>16-34</t>
  </si>
  <si>
    <t>35-44</t>
  </si>
  <si>
    <t>45-54</t>
  </si>
  <si>
    <t>55-64</t>
  </si>
  <si>
    <t>65-74</t>
  </si>
  <si>
    <t>75+</t>
  </si>
  <si>
    <t>Vigintile (2% band)</t>
  </si>
  <si>
    <t>Income</t>
  </si>
  <si>
    <t>Wealth</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</si>
  <si>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</si>
  <si>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</si>
  <si>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</si>
  <si>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</si>
  <si>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</si>
  <si>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</si>
  <si>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</si>
  <si>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</si>
  <si>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</si>
  <si>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</si>
  <si>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</si>
  <si>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</si>
  <si>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</si>
  <si>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</si>
  <si>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</si>
  <si>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</si>
  <si>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</si>
  <si>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</si>
  <si>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</si>
  <si>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</si>
  <si>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</si>
  <si>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</si>
  <si>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</si>
  <si>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</si>
  <si>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</si>
  <si>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</si>
  <si>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</si>
  <si>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</si>
  <si>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</si>
  <si>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</si>
  <si>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</si>
  <si>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</si>
  <si>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</si>
  <si>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</si>
  <si>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</si>
  <si>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</si>
  <si>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</si>
  <si>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</si>
  <si>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</si>
  <si>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</si>
  <si>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</si>
  <si>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</si>
  <si>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</si>
  <si>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</si>
  <si>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</si>
  <si>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</si>
  <si>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</si>
  <si>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</si>
  <si>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</si>
  <si>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</si>
  <si>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This worksheet contains three tables presented below each other, with the first table showing the key estimates and the additional tables providing age information and sample sizes.</t>
  </si>
  <si>
    <t>Period</t>
  </si>
  <si>
    <t>Decile</t>
  </si>
  <si>
    <t>Measure</t>
  </si>
  <si>
    <t>Gini</t>
  </si>
  <si>
    <t>Palma</t>
  </si>
  <si>
    <t>Income group</t>
  </si>
  <si>
    <t>Bottom 40%</t>
  </si>
  <si>
    <t>Top 1%</t>
  </si>
  <si>
    <t>Top 10%</t>
  </si>
  <si>
    <t>Middle 50%</t>
  </si>
  <si>
    <t>Wealth gap</t>
  </si>
  <si>
    <t>Note: This analysis includes all households, whether or not they have each type of wealth.</t>
  </si>
  <si>
    <t>Note: Individual wealth data has been available since 2010-2012.</t>
  </si>
  <si>
    <t>0-15</t>
  </si>
  <si>
    <t>Note: Economic status data has been available since 2014-2016.</t>
  </si>
  <si>
    <t>Retired</t>
  </si>
  <si>
    <t>Self-employed</t>
  </si>
  <si>
    <t>Employed</t>
  </si>
  <si>
    <t>Inactive - other</t>
  </si>
  <si>
    <t>Inactive - student</t>
  </si>
  <si>
    <t>Inactive - disabled</t>
  </si>
  <si>
    <t>Unemployed</t>
  </si>
  <si>
    <t>Degree-level or above</t>
  </si>
  <si>
    <t>Other qualification</t>
  </si>
  <si>
    <t>No qualification</t>
  </si>
  <si>
    <t>Note: The 'married' group also includes adults in Civil Partnerships; the 'divorced' group also includes separated adults and those in dissolved Civil Partnerships.</t>
  </si>
  <si>
    <t>Married</t>
  </si>
  <si>
    <t>Widowed</t>
  </si>
  <si>
    <t>Divorced</t>
  </si>
  <si>
    <t>Cohabiting</t>
  </si>
  <si>
    <t>Single</t>
  </si>
  <si>
    <t>Note: The 'Other' group includes people who responded they were gay or lesbian, bisexual, or other.</t>
  </si>
  <si>
    <t>Note: Sexual orientation data has been available since 2014-2016.</t>
  </si>
  <si>
    <t>Note: Only adults who responded to the survey in person were included in the sexual orientation breakdown. No proxy-responses are included.</t>
  </si>
  <si>
    <t>Heterosexual / straight</t>
  </si>
  <si>
    <t>[x]</t>
  </si>
  <si>
    <t>Other</t>
  </si>
  <si>
    <t>Note: Only adults who responded to the survey in person were included in the religion breakdown. No proxy-responses are included.</t>
  </si>
  <si>
    <t>Christian</t>
  </si>
  <si>
    <t>Other religion</t>
  </si>
  <si>
    <t>No religion</t>
  </si>
  <si>
    <t>Note: The 'minority ethnic' group combines all minority ethnic adults, including white ethnic minorities such as EU citizens and gypsy/travellers.</t>
  </si>
  <si>
    <t>Note: Only adults who responded to the survey in person were included in the ethnicity breakdown. No proxy-responses are included.</t>
  </si>
  <si>
    <t>White British</t>
  </si>
  <si>
    <t>Minority ethnic</t>
  </si>
  <si>
    <t>Disabled</t>
  </si>
  <si>
    <t>Not disabled</t>
  </si>
  <si>
    <t>Men</t>
  </si>
  <si>
    <t>Women</t>
  </si>
  <si>
    <t>Note: Income data has been available since 2014-2016.</t>
  </si>
  <si>
    <t>5th (highest) income quintile</t>
  </si>
  <si>
    <t>4th</t>
  </si>
  <si>
    <t>3rd</t>
  </si>
  <si>
    <t>2nd</t>
  </si>
  <si>
    <t>1st (lowest) income quintile</t>
  </si>
  <si>
    <t>Note: The 'Other' group contains households with additional adults such as non-dependent (grown-up) children.</t>
  </si>
  <si>
    <t>Pensioner couple</t>
  </si>
  <si>
    <t>Working-age couple</t>
  </si>
  <si>
    <t>Couple with children</t>
  </si>
  <si>
    <t>Single pensioner</t>
  </si>
  <si>
    <t>Single working-age</t>
  </si>
  <si>
    <t>Lone parent</t>
  </si>
  <si>
    <t>Owning outright</t>
  </si>
  <si>
    <t>Buying with mortgage</t>
  </si>
  <si>
    <t>Private renting</t>
  </si>
  <si>
    <t>Social renting</t>
  </si>
  <si>
    <t>Note: The data source is not representative of areas north of the Caledonian Canal and the Scottish islands; urban/rural breakdowns therefore require careful interpretation.</t>
  </si>
  <si>
    <t>Rural</t>
  </si>
  <si>
    <t>Urban</t>
  </si>
  <si>
    <t>This worksheet contains four tables presented below each other, with the first table showing a quantitative measure of financial vulnerability, the second table providing sample sizes, the third showing a perceptive measure of financial vulnerability, and the final table again providing sample sizes.</t>
  </si>
  <si>
    <t>Questions on making ends meet were asked from 2012-2014 onwards.</t>
  </si>
  <si>
    <t>Period of time</t>
  </si>
  <si>
    <t>&gt; 12 months</t>
  </si>
  <si>
    <t>6-12 months</t>
  </si>
  <si>
    <t>3-5 months</t>
  </si>
  <si>
    <t>1-2 months</t>
  </si>
  <si>
    <t>&lt; 1 month</t>
  </si>
  <si>
    <t>In debt already</t>
  </si>
  <si>
    <t>Twelve months or more</t>
  </si>
  <si>
    <t>Six months or more, but less than 12 months</t>
  </si>
  <si>
    <t>Three months or more, but less than six months</t>
  </si>
  <si>
    <t>One month or more, but less than three months</t>
  </si>
  <si>
    <t>One week or more, but less than one month</t>
  </si>
  <si>
    <t>Less than one week</t>
  </si>
  <si>
    <t>This worksheet contains four tables presented below each other, with the first table showing the proportion of households, the second showing the composition of households, the third showing age information, and the final table providing sample sizes.</t>
  </si>
  <si>
    <t>Note: Households are considered financially vulnerable if their savings cover less than a month of income at the poverty line</t>
  </si>
  <si>
    <t>Note: Economic status data has been available since 2012-2014.</t>
  </si>
  <si>
    <t>Inactive/Unemployed</t>
  </si>
  <si>
    <t>Note: The 'married' group also includes Civil Partnerships; the 'divorced' group also includes separated household heads and those in dissolved Civil Partnerships.</t>
  </si>
  <si>
    <t>With children</t>
  </si>
  <si>
    <t>No children</t>
  </si>
  <si>
    <t>Someone disabled</t>
  </si>
  <si>
    <t>No-one disabled</t>
  </si>
  <si>
    <t>Female</t>
  </si>
  <si>
    <t>Male</t>
  </si>
  <si>
    <t>Note: The data source is not representative of areas north of the Caledonian Canal and the Scottish islands;</t>
  </si>
  <si>
    <t>urban/rural breakdowns therefore require careful interpretation.</t>
  </si>
  <si>
    <t>Note: The 'minority ethnic' group combines all minority ethnic households, including white ethnic minorities such as EU citizens and gypsy/travellers.</t>
  </si>
  <si>
    <t>Note: Unmanageable debt data has been available since 2010-2012.</t>
  </si>
  <si>
    <t>This worksheet contains four tables presented below each other, with the first table showing the key estimates and the additional tables providing age information and sample sizes.</t>
  </si>
  <si>
    <t>Note: Includes households with property only.</t>
  </si>
  <si>
    <t>Note: Includes adults with private pensions only.</t>
  </si>
  <si>
    <t>This worksheet contains three tables presented below each other, with the first table showing the proportion of adults, the second showing the composition of adults, and the final table providing sample sizes.</t>
  </si>
  <si>
    <t>This worksheet contains two tables presented below each other, with the first table showing the key estimates</t>
  </si>
  <si>
    <t>and the second table providing sample sizes.</t>
  </si>
  <si>
    <t>This worksheet contains four tables presented below each other, with the first table showing the proportion of adults, the second showing the composition of adults, the third showing age information, and the final table providing sample sizes.</t>
  </si>
  <si>
    <t>5th (highest) household income quintile</t>
  </si>
  <si>
    <t>1st (lowest) household income quintile</t>
  </si>
  <si>
    <t>Table numbers are the same as those used in the report at data.gov.scot/wealth.</t>
  </si>
  <si>
    <t>Published: 14 August 2025</t>
  </si>
  <si>
    <t>The tables in this spreadsheet contain all estimates shown in the 'Wealth in Scotland' report. The report can be found here: data.gov.scot/wealth</t>
  </si>
  <si>
    <t>Table numbers are the same as those used in the report. More detailed information on definitions and methodology can also be found in the report.</t>
  </si>
  <si>
    <t>Estimates are based on Scotland data from the Wealth and Assets Survey. This survey is managed by the Office for National Statistics, who also published a report, available on the ONS website.</t>
  </si>
  <si>
    <t>Each worksheet contains multiple tables, with the main table at the top, and additional tables below. The additional tables provide context such as sample sizes and average ages. Estimates based on smaller samples are less certain than those based on larger samples. Wealth estimates for older populations tend to be higher since wealth usually is built up during people's lifetime.</t>
  </si>
  <si>
    <t>There have been changes to the pension wealth methodology, which means that estimates of private pension wealth and estimates of total wealth including private pension wealth are not comparable with previous publications and represents a break in the time series for these two measures.</t>
  </si>
  <si>
    <t>More information on this can be found at https://www.ons.gov.uk/peoplepopulationandcommunity/personalandhouseholdfinances/incomeandwealth/articles/estimatingdefinedbenefitpensionwealthingreatbritain/december2024#changing-to-a-superannuation-contributions-adjusted-for-past-experience-based-methodology</t>
  </si>
  <si>
    <t>Wave 8, 2020-2022, was conducted during the covid-19 panademic. Due to coronavirus restrictions changes had to be made to the method of data collection for this round of the survey, from face-to-face interviewing to telephone interviews. Because of this change, findings should be interpreted with a degree of caution, when comapring to other years.</t>
  </si>
  <si>
    <t>More information on this can be found at https://www.ons.gov.uk/peoplepopulationandcommunity/healthandsocialcare/conditionsanddiseases/methodologies/impactofcovid19ononssocialsurveydatacollection</t>
  </si>
  <si>
    <t>There have also been adjustments made in wave 8 to account for underrepresentation of renters and overrepresentation of households who own outright.</t>
  </si>
  <si>
    <t>More information on this can be found at https://www.ons.gov.uk/peoplepopulationandcommunity/personalandhouseholdfinances/incomeandwealth/bulletins/totalwealthingreatbritain/april2020tomarch2022#data-sources-and-quality</t>
  </si>
  <si>
    <t>For all of these reasons year-on-year changes should be treated with greater uncertainty.</t>
  </si>
  <si>
    <t>[u] - unrelibable due to small sample size</t>
  </si>
  <si>
    <t>[b] - break in time series</t>
  </si>
  <si>
    <t>[x] - not available for another reason data accuracy, (data wasn't collected etc.)</t>
  </si>
  <si>
    <t>Poverty and Deprivation Statistics</t>
  </si>
  <si>
    <t>Scottish Government</t>
  </si>
  <si>
    <t>Communities Analysis Division</t>
  </si>
  <si>
    <t>Email: social-justice-analysis@gov.scot</t>
  </si>
  <si>
    <t>Estimates are based on a small random sample of households in Scotland. Each worksheet includes information on the underlying sample size.</t>
  </si>
  <si>
    <t>For estimated proportions or median amounts, the sample of the underlying base has to be at least 30 cases, for example 30 interviewed people, or 30 interviewed households (depending on the question). Where sample sizes are too small to produce a robust estimate, the estimate will be suppressed.</t>
  </si>
  <si>
    <t>Small differences in these estimates may not be meaningful and should be interpreted with care. This is because the estimates are based on a sample survey and could be slightly higher or lower if we interviewed a different sample of the population.</t>
  </si>
  <si>
    <t>In 2006-2008, only half of the households in the sample were asked about their physical wealth. Only these households are included in estimates for this period of total wealth and physical wealth.</t>
  </si>
  <si>
    <t>In some breakdowns by individual or household characteristics, the 'All' category may not be based on the full Scottish sample, because we excluded a small number of individuals or households where the characteristic was unknown.</t>
  </si>
  <si>
    <t>Population estimates (the number of people or the number of households) are not available. However, we do publish average wealth, or proportions of households or individuals who have certain characteristics, for example unmanageable debt. Note also that the survey does not cover the regions north of the Caledonian Canal and the Scottish islands. It is therefore not representative of the whole of the Scottish population, and especially leaves out some of the most remote areas in Scotland.</t>
  </si>
  <si>
    <t>Proportions are rounded to the nearest 1%. GBP amounts are rounded to the nearest £100.</t>
  </si>
  <si>
    <t>The unit of analysis is households or individuals, and is clearly stated in each table header. For individual wealth estimates, some types of wealth, such as pension wealth, can be clearly allocated to an individual. Other types of wealth, such as housing wealth, were split among household members. More detail is available in the report.</t>
  </si>
  <si>
    <t>Wealth estimates have been deflated to April 2020 to March 2022 prices using the Office for National Statistics' Consumer Prices Index including owner occupiers’ housing costs. More information is available in the report.</t>
  </si>
  <si>
    <t>The household head is the person with the highest income, or, for equal incomes, the older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</si>
</sst>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scheme val="minor"/>
    </font>
    <font>
      <b/>
      <sz val="15"/>
      <color theme="3"/>
      <name val="Calibri"/>
      <family val="2"/>
      <scheme val="minor"/>
    </font>
    <font>
      <b/>
      <sz val="13"/>
      <color theme="3"/>
      <name val="Calibri"/>
      <family val="2"/>
      <scheme val="minor"/>
    </font>
    <font>
      <i/>
      <sz val="11"/>
      <color rgb="FF7F7F7F"/>
      <name val="Calibri"/>
      <family val="2"/>
      <scheme val="minor"/>
    </font>
    <font>
      <b/>
      <sz val="15"/>
      <name val="Calibri"/>
      <family val="2"/>
      <scheme val="minor"/>
    </font>
    <font>
      <sz val="12"/>
      <name val="Segoe UI"/>
    </font>
    <font>
      <b/>
      <sz val="13"/>
      <name val="Calibri"/>
      <family val="2"/>
      <scheme val="minor"/>
    </font>
    <font>
      <u/>
      <sz val="12"/>
      <name val="Segoe UI"/>
    </font>
    <font>
      <sz val="11"/>
      <name val="Calibri"/>
      <family val="2"/>
      <scheme val="minor"/>
    </font>
    <font>
      <sz val="11"/>
      <name val="Calibri"/>
    </font>
    <font>
      <i/>
      <sz val="11"/>
      <name val="Calibri"/>
      <family val="2"/>
      <scheme val="minor"/>
    </font>
    <font>
      <u/>
      <sz val="12"/>
      <color rgb="FF3333FF"/>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11" fillId="0" borderId="0" applyNumberFormat="0" applyFill="0" applyBorder="0" applyAlignment="0" applyProtection="0"/>
    <xf numFmtId="0" fontId="1" fillId="0" borderId="0" applyNumberFormat="0" applyFill="0" applyAlignment="0" applyProtection="0"/>
    <xf numFmtId="0" fontId="2" fillId="0" borderId="0" applyNumberFormat="0" applyFill="0" applyAlignment="0" applyProtection="0"/>
    <xf numFmtId="0" fontId="3" fillId="0" borderId="0" applyNumberFormat="0" applyFill="0" applyBorder="0" applyAlignment="0" applyProtection="0"/>
  </cellStyleXfs>
  <cellXfs count="18">
    <xf numFmtId="0" fontId="0" fillId="0" borderId="0" xfId="0"/>
    <xf numFmtId="0" fontId="4" fillId="0" borderId="0" xfId="2" applyFont="1"/>
    <xf numFmtId="0" fontId="5" fillId="0" borderId="0" xfId="0" applyFont="1" applyAlignment="1">
      <alignment horizontal="left" wrapText="1"/>
    </xf>
    <xf numFmtId="0" fontId="6" fillId="0" borderId="0" xfId="3" applyFont="1"/>
    <xf numFmtId="0" fontId="4" fillId="0" borderId="0" xfId="2" applyFont="1" applyAlignment="1">
      <alignment horizontal="left"/>
    </xf>
    <xf numFmtId="0" fontId="6" fillId="0" borderId="0" xfId="3" applyFont="1" applyAlignment="1">
      <alignment horizontal="left"/>
    </xf>
    <xf numFmtId="0" fontId="7" fillId="0" borderId="0" xfId="0" applyFont="1" applyAlignment="1">
      <alignment horizontal="left"/>
    </xf>
    <xf numFmtId="0" fontId="8" fillId="0" borderId="0" xfId="0" applyFont="1"/>
    <xf numFmtId="0" fontId="9" fillId="0" borderId="0" xfId="0" applyFont="1" applyAlignment="1">
      <alignment horizontal="left" wrapText="1"/>
    </xf>
    <xf numFmtId="0" fontId="9" fillId="0" borderId="0" xfId="0" applyFont="1" applyAlignment="1">
      <alignment horizontal="right"/>
    </xf>
    <xf numFmtId="0" fontId="10" fillId="0" borderId="0" xfId="4" applyFont="1" applyAlignment="1">
      <alignment horizontal="left" wrapText="1"/>
    </xf>
    <xf numFmtId="0" fontId="9" fillId="0" borderId="0" xfId="0" applyFont="1" applyAlignment="1">
      <alignment horizontal="left"/>
    </xf>
    <xf numFmtId="3" fontId="9" fillId="0" borderId="0" xfId="0" applyNumberFormat="1" applyFont="1" applyAlignment="1">
      <alignment horizontal="right" wrapText="1"/>
    </xf>
    <xf numFmtId="3" fontId="9" fillId="0" borderId="0" xfId="0" applyNumberFormat="1" applyFont="1" applyAlignment="1">
      <alignment horizontal="right"/>
    </xf>
    <xf numFmtId="0" fontId="11" fillId="0" borderId="0" xfId="1" applyAlignment="1">
      <alignment horizontal="left" wrapText="1"/>
    </xf>
    <xf numFmtId="9" fontId="9" fillId="0" borderId="0" xfId="0" applyNumberFormat="1" applyFont="1" applyAlignment="1">
      <alignment horizontal="right" wrapText="1"/>
    </xf>
    <xf numFmtId="9" fontId="9" fillId="0" borderId="0" xfId="0" applyNumberFormat="1" applyFont="1" applyAlignment="1">
      <alignment horizontal="right"/>
    </xf>
    <xf numFmtId="0" fontId="11" fillId="0" borderId="0" xfId="1" applyAlignment="1">
      <alignment horizontal="left" indent="1"/>
    </xf>
  </cellXfs>
  <cellStyles count="5">
    <cellStyle name="Explanatory Text" xfId="4" builtinId="53"/>
    <cellStyle name="Heading 1" xfId="2" builtinId="16" customBuiltin="1"/>
    <cellStyle name="Heading 2" xfId="3" builtinId="17" customBuiltin="1"/>
    <cellStyle name="Hyperlink" xfId="1" builtinId="8" customBuiltin="1"/>
    <cellStyle name="Normal" xfId="0" builtinId="0"/>
  </cellStyles>
  <dxfs count="2845">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00000000-000C-0000-FFFF-FFFF00000000}" name="table1a" displayName="table1a" ref="A6:J7" totalsRowShown="0" headerRowDxfId="2834" dataDxfId="2833">
  <tableColumns count="10">
    <tableColumn id="1" xr3:uid="{00000000-0010-0000-0000-000001000000}" name="Group" dataDxfId="2844"/>
    <tableColumn id="2" xr3:uid="{00000000-0010-0000-0000-000002000000}" name="2006-2008" dataDxfId="2843"/>
    <tableColumn id="3" xr3:uid="{00000000-0010-0000-0000-000003000000}" name="2008-2010" dataDxfId="2842"/>
    <tableColumn id="4" xr3:uid="{00000000-0010-0000-0000-000004000000}" name="2010-2012" dataDxfId="2841"/>
    <tableColumn id="5" xr3:uid="{00000000-0010-0000-0000-000005000000}" name="2012-2014" dataDxfId="2840"/>
    <tableColumn id="6" xr3:uid="{00000000-0010-0000-0000-000006000000}" name="2014-2016" dataDxfId="2839"/>
    <tableColumn id="7" xr3:uid="{00000000-0010-0000-0000-000007000000}" name="2016-2018" dataDxfId="2838"/>
    <tableColumn id="8" xr3:uid="{00000000-0010-0000-0000-000008000000}" name="2018-2020" dataDxfId="2837"/>
    <tableColumn id="9" xr3:uid="{00000000-0010-0000-0000-000009000000}" name=" " dataDxfId="2836"/>
    <tableColumn id="10" xr3:uid="{00000000-0010-0000-0000-00000A000000}" name="2020-2022" dataDxfId="2835"/>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00000000-000C-0000-FFFF-FFFF01000000}" name="table1b" displayName="table1b" ref="A9:J10" totalsRowShown="0" headerRowDxfId="2822" dataDxfId="2821">
  <tableColumns count="10">
    <tableColumn id="1" xr3:uid="{00000000-0010-0000-0100-000001000000}" name="Group" dataDxfId="2832"/>
    <tableColumn id="2" xr3:uid="{00000000-0010-0000-0100-000002000000}" name="2006-2008" dataDxfId="2831"/>
    <tableColumn id="3" xr3:uid="{00000000-0010-0000-0100-000003000000}" name="2008-2010" dataDxfId="2830"/>
    <tableColumn id="4" xr3:uid="{00000000-0010-0000-0100-000004000000}" name="2010-2012" dataDxfId="2829"/>
    <tableColumn id="5" xr3:uid="{00000000-0010-0000-0100-000005000000}" name="2012-2014" dataDxfId="2828"/>
    <tableColumn id="6" xr3:uid="{00000000-0010-0000-0100-000006000000}" name="2014-2016" dataDxfId="2827"/>
    <tableColumn id="7" xr3:uid="{00000000-0010-0000-0100-000007000000}" name="2016-2018" dataDxfId="2826"/>
    <tableColumn id="8" xr3:uid="{00000000-0010-0000-0100-000008000000}" name="2018-2020" dataDxfId="2825"/>
    <tableColumn id="9" xr3:uid="{00000000-0010-0000-0100-000009000000}" name=" " dataDxfId="2824"/>
    <tableColumn id="10" xr3:uid="{00000000-0010-0000-0100-00000A000000}" name="2020-2022" dataDxfId="2823"/>
  </tableColumns>
  <tableStyleInfo name="TableStyleLight1"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00000000-000C-0000-FFFF-FFFF02000000}" name="table2a" displayName="table2a" ref="A7:B11" totalsRowShown="0" headerRowDxfId="2818" dataDxfId="2817">
  <tableColumns count="2">
    <tableColumn id="1" xr3:uid="{00000000-0010-0000-0200-000001000000}" name="Type" dataDxfId="2820"/>
    <tableColumn id="2" xr3:uid="{00000000-0010-0000-0200-000002000000}" name="Median" dataDxfId="2819"/>
  </tableColumns>
  <tableStyleInfo name="TableStyleLight1"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00000000-000C-0000-FFFF-FFFF03000000}" name="table2b" displayName="table2b" ref="A13:B17" totalsRowShown="0" headerRowDxfId="2814" dataDxfId="2813">
  <tableColumns count="2">
    <tableColumn id="1" xr3:uid="{00000000-0010-0000-0300-000001000000}" name="Type" dataDxfId="2816"/>
    <tableColumn id="2" xr3:uid="{00000000-0010-0000-0300-000002000000}" name="Sample" dataDxfId="2815"/>
  </tableColumns>
  <tableStyleInfo name="TableStyleLight1"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00000000-000C-0000-FFFF-FFFF04000000}" name="table3a" displayName="table3a" ref="A7:J11" totalsRowShown="0" headerRowDxfId="2802" dataDxfId="2801">
  <tableColumns count="10">
    <tableColumn id="1" xr3:uid="{00000000-0010-0000-0400-000001000000}" name="Type" dataDxfId="2812"/>
    <tableColumn id="2" xr3:uid="{00000000-0010-0000-0400-000002000000}" name="2006-2008" dataDxfId="2811"/>
    <tableColumn id="3" xr3:uid="{00000000-0010-0000-0400-000003000000}" name="2008-2010" dataDxfId="2810"/>
    <tableColumn id="4" xr3:uid="{00000000-0010-0000-0400-000004000000}" name="2010-2012" dataDxfId="2809"/>
    <tableColumn id="5" xr3:uid="{00000000-0010-0000-0400-000005000000}" name="2012-2014" dataDxfId="2808"/>
    <tableColumn id="6" xr3:uid="{00000000-0010-0000-0400-000006000000}" name="2014-2016" dataDxfId="2807"/>
    <tableColumn id="7" xr3:uid="{00000000-0010-0000-0400-000007000000}" name="2016-2018" dataDxfId="2806"/>
    <tableColumn id="8" xr3:uid="{00000000-0010-0000-0400-000008000000}" name="2018-2020" dataDxfId="2805"/>
    <tableColumn id="9" xr3:uid="{00000000-0010-0000-0400-000009000000}" name=" " dataDxfId="2804"/>
    <tableColumn id="10" xr3:uid="{00000000-0010-0000-0400-00000A000000}" name="2020-2022" dataDxfId="2803"/>
  </tableColumns>
  <tableStyleInfo name="TableStyleLight1"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00000000-000C-0000-FFFF-FFFF05000000}" name="table3b" displayName="table3b" ref="A13:J17" totalsRowShown="0" headerRowDxfId="2790" dataDxfId="2789">
  <tableColumns count="10">
    <tableColumn id="1" xr3:uid="{00000000-0010-0000-0500-000001000000}" name="Type" dataDxfId="2800"/>
    <tableColumn id="2" xr3:uid="{00000000-0010-0000-0500-000002000000}" name="2006-2008" dataDxfId="2799"/>
    <tableColumn id="3" xr3:uid="{00000000-0010-0000-0500-000003000000}" name="2008-2010" dataDxfId="2798"/>
    <tableColumn id="4" xr3:uid="{00000000-0010-0000-0500-000004000000}" name="2010-2012" dataDxfId="2797"/>
    <tableColumn id="5" xr3:uid="{00000000-0010-0000-0500-000005000000}" name="2012-2014" dataDxfId="2796"/>
    <tableColumn id="6" xr3:uid="{00000000-0010-0000-0500-000006000000}" name="2014-2016" dataDxfId="2795"/>
    <tableColumn id="7" xr3:uid="{00000000-0010-0000-0500-000007000000}" name="2016-2018" dataDxfId="2794"/>
    <tableColumn id="8" xr3:uid="{00000000-0010-0000-0500-000008000000}" name="2018-2020" dataDxfId="2793"/>
    <tableColumn id="9" xr3:uid="{00000000-0010-0000-0500-000009000000}" name=" " dataDxfId="2792"/>
    <tableColumn id="10" xr3:uid="{00000000-0010-0000-0500-00000A000000}" name="2020-2022" dataDxfId="2791"/>
  </tableColumns>
  <tableStyleInfo name="TableStyleLight1"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00000000-000C-0000-FFFF-FFFF06000000}" name="table4a" displayName="table4a" ref="A6:F12" totalsRowShown="0" headerRowDxfId="2782" dataDxfId="2781">
  <tableColumns count="6">
    <tableColumn id="1" xr3:uid="{00000000-0010-0000-0600-000001000000}" name="Age" dataDxfId="2788"/>
    <tableColumn id="2" xr3:uid="{00000000-0010-0000-0600-000002000000}" name="Financial" dataDxfId="2787"/>
    <tableColumn id="3" xr3:uid="{00000000-0010-0000-0600-000003000000}" name="Physical" dataDxfId="2786"/>
    <tableColumn id="4" xr3:uid="{00000000-0010-0000-0600-000004000000}" name="Property" dataDxfId="2785"/>
    <tableColumn id="5" xr3:uid="{00000000-0010-0000-0600-000005000000}" name="Pension" dataDxfId="2784"/>
    <tableColumn id="6" xr3:uid="{00000000-0010-0000-0600-000006000000}" name="Total" dataDxfId="2783"/>
  </tableColumns>
  <tableStyleInfo name="TableStyleLight1"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00000000-000C-0000-FFFF-FFFF07000000}" name="table4b" displayName="table4b" ref="A14:F20" totalsRowShown="0" headerRowDxfId="2774" dataDxfId="2773">
  <tableColumns count="6">
    <tableColumn id="1" xr3:uid="{00000000-0010-0000-0700-000001000000}" name="Age" dataDxfId="2780"/>
    <tableColumn id="2" xr3:uid="{00000000-0010-0000-0700-000002000000}" name="Financial" dataDxfId="2779"/>
    <tableColumn id="3" xr3:uid="{00000000-0010-0000-0700-000003000000}" name="Physical" dataDxfId="2778"/>
    <tableColumn id="4" xr3:uid="{00000000-0010-0000-0700-000004000000}" name="Property" dataDxfId="2777"/>
    <tableColumn id="5" xr3:uid="{00000000-0010-0000-0700-000005000000}" name="Pension" dataDxfId="2776"/>
    <tableColumn id="6" xr3:uid="{00000000-0010-0000-0700-000006000000}" name="Total" dataDxfId="2775"/>
  </tableColumns>
  <tableStyleInfo name="TableStyleLight1"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00000000-000C-0000-FFFF-FFFF08000000}" name="table5a" displayName="table5a" ref="A6:C56" totalsRowShown="0" headerRowDxfId="2769" dataDxfId="2768">
  <tableColumns count="3">
    <tableColumn id="1" xr3:uid="{00000000-0010-0000-0800-000001000000}" name="Vigintile (2% band)" dataDxfId="2772"/>
    <tableColumn id="2" xr3:uid="{00000000-0010-0000-0800-000002000000}" name="Income" dataDxfId="2771"/>
    <tableColumn id="3" xr3:uid="{00000000-0010-0000-0800-000003000000}" name="Wealth" dataDxfId="2770"/>
  </tableColumns>
  <tableStyleInfo name="TableStyleLight1"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4" xr:uid="{00000000-000C-0000-FFFF-FFFF09000000}" name="table5b" displayName="table5b" ref="A58:C59" totalsRowShown="0" headerRowDxfId="2764" dataDxfId="2763">
  <tableColumns count="3">
    <tableColumn id="1" xr3:uid="{00000000-0010-0000-0900-000001000000}" name="Group" dataDxfId="2767"/>
    <tableColumn id="2" xr3:uid="{00000000-0010-0000-0900-000002000000}" name="Income" dataDxfId="2766"/>
    <tableColumn id="3" xr3:uid="{00000000-0010-0000-0900-000003000000}" name="Wealth" dataDxfId="2765"/>
  </tableColumns>
  <tableStyleInfo name="TableStyleLight1"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5" xr:uid="{00000000-000C-0000-FFFF-FFFF0A000000}" name="table6a" displayName="table6a" ref="A6:K7" totalsRowShown="0" headerRowDxfId="2751" dataDxfId="2750">
  <tableColumns count="11">
    <tableColumn id="1" xr3:uid="{00000000-0010-0000-0A00-000001000000}" name="Period" dataDxfId="2762"/>
    <tableColumn id="2" xr3:uid="{00000000-0010-0000-0A00-000002000000}" name="1" dataDxfId="2761"/>
    <tableColumn id="3" xr3:uid="{00000000-0010-0000-0A00-000003000000}" name="2" dataDxfId="2760"/>
    <tableColumn id="4" xr3:uid="{00000000-0010-0000-0A00-000004000000}" name="3" dataDxfId="2759"/>
    <tableColumn id="5" xr3:uid="{00000000-0010-0000-0A00-000005000000}" name="4" dataDxfId="2758"/>
    <tableColumn id="6" xr3:uid="{00000000-0010-0000-0A00-000006000000}" name="5" dataDxfId="2757"/>
    <tableColumn id="7" xr3:uid="{00000000-0010-0000-0A00-000007000000}" name="6" dataDxfId="2756"/>
    <tableColumn id="8" xr3:uid="{00000000-0010-0000-0A00-000008000000}" name="7" dataDxfId="2755"/>
    <tableColumn id="9" xr3:uid="{00000000-0010-0000-0A00-000009000000}" name="8" dataDxfId="2754"/>
    <tableColumn id="10" xr3:uid="{00000000-0010-0000-0A00-00000A000000}" name="9" dataDxfId="2753"/>
    <tableColumn id="11" xr3:uid="{00000000-0010-0000-0A00-00000B000000}" name="10" dataDxfId="2752"/>
  </tableColumns>
  <tableStyleInfo name="TableStyleLight1"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6" xr:uid="{00000000-000C-0000-FFFF-FFFF0B000000}" name="table6b" displayName="table6b" ref="A9:K10" totalsRowShown="0" headerRowDxfId="2738" dataDxfId="2737">
  <tableColumns count="11">
    <tableColumn id="1" xr3:uid="{00000000-0010-0000-0B00-000001000000}" name="Period" dataDxfId="2749"/>
    <tableColumn id="2" xr3:uid="{00000000-0010-0000-0B00-000002000000}" name="1" dataDxfId="2748"/>
    <tableColumn id="3" xr3:uid="{00000000-0010-0000-0B00-000003000000}" name="2" dataDxfId="2747"/>
    <tableColumn id="4" xr3:uid="{00000000-0010-0000-0B00-000004000000}" name="3" dataDxfId="2746"/>
    <tableColumn id="5" xr3:uid="{00000000-0010-0000-0B00-000005000000}" name="4" dataDxfId="2745"/>
    <tableColumn id="6" xr3:uid="{00000000-0010-0000-0B00-000006000000}" name="5" dataDxfId="2744"/>
    <tableColumn id="7" xr3:uid="{00000000-0010-0000-0B00-000007000000}" name="6" dataDxfId="2743"/>
    <tableColumn id="8" xr3:uid="{00000000-0010-0000-0B00-000008000000}" name="7" dataDxfId="2742"/>
    <tableColumn id="9" xr3:uid="{00000000-0010-0000-0B00-000009000000}" name="8" dataDxfId="2741"/>
    <tableColumn id="10" xr3:uid="{00000000-0010-0000-0B00-00000A000000}" name="9" dataDxfId="2740"/>
    <tableColumn id="11" xr3:uid="{00000000-0010-0000-0B00-00000B000000}" name="10" dataDxfId="2739"/>
  </tableColumns>
  <tableStyleInfo name="TableStyleLight1"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7" xr:uid="{00000000-000C-0000-FFFF-FFFF0C000000}" name="table6c" displayName="table6c" ref="A12:K13" totalsRowShown="0" headerRowDxfId="2725" dataDxfId="2724">
  <tableColumns count="11">
    <tableColumn id="1" xr3:uid="{00000000-0010-0000-0C00-000001000000}" name="Period" dataDxfId="2736"/>
    <tableColumn id="2" xr3:uid="{00000000-0010-0000-0C00-000002000000}" name="1" dataDxfId="2735"/>
    <tableColumn id="3" xr3:uid="{00000000-0010-0000-0C00-000003000000}" name="2" dataDxfId="2734"/>
    <tableColumn id="4" xr3:uid="{00000000-0010-0000-0C00-000004000000}" name="3" dataDxfId="2733"/>
    <tableColumn id="5" xr3:uid="{00000000-0010-0000-0C00-000005000000}" name="4" dataDxfId="2732"/>
    <tableColumn id="6" xr3:uid="{00000000-0010-0000-0C00-000006000000}" name="5" dataDxfId="2731"/>
    <tableColumn id="7" xr3:uid="{00000000-0010-0000-0C00-000007000000}" name="6" dataDxfId="2730"/>
    <tableColumn id="8" xr3:uid="{00000000-0010-0000-0C00-000008000000}" name="7" dataDxfId="2729"/>
    <tableColumn id="9" xr3:uid="{00000000-0010-0000-0C00-000009000000}" name="8" dataDxfId="2728"/>
    <tableColumn id="10" xr3:uid="{00000000-0010-0000-0C00-00000A000000}" name="9" dataDxfId="2727"/>
    <tableColumn id="11" xr3:uid="{00000000-0010-0000-0C00-00000B000000}" name="10" dataDxfId="2726"/>
  </tableColumns>
  <tableStyleInfo name="TableStyleLight1"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8" xr:uid="{00000000-000C-0000-FFFF-FFFF0D000000}" name="table7a" displayName="table7a" ref="A6:J17" totalsRowShown="0" headerRowDxfId="2713" dataDxfId="2712">
  <tableColumns count="10">
    <tableColumn id="1" xr3:uid="{00000000-0010-0000-0D00-000001000000}" name="Decile" dataDxfId="2723"/>
    <tableColumn id="2" xr3:uid="{00000000-0010-0000-0D00-000002000000}" name="2006-2008" dataDxfId="2722"/>
    <tableColumn id="3" xr3:uid="{00000000-0010-0000-0D00-000003000000}" name="2008-2010" dataDxfId="2721"/>
    <tableColumn id="4" xr3:uid="{00000000-0010-0000-0D00-000004000000}" name="2010-2012" dataDxfId="2720"/>
    <tableColumn id="5" xr3:uid="{00000000-0010-0000-0D00-000005000000}" name="2012-2014" dataDxfId="2719"/>
    <tableColumn id="6" xr3:uid="{00000000-0010-0000-0D00-000006000000}" name="2014-2016" dataDxfId="2718"/>
    <tableColumn id="7" xr3:uid="{00000000-0010-0000-0D00-000007000000}" name="2016-2018" dataDxfId="2717"/>
    <tableColumn id="8" xr3:uid="{00000000-0010-0000-0D00-000008000000}" name="2018-2020" dataDxfId="2716"/>
    <tableColumn id="9" xr3:uid="{00000000-0010-0000-0D00-000009000000}" name=" " dataDxfId="2715"/>
    <tableColumn id="10" xr3:uid="{00000000-0010-0000-0D00-00000A000000}" name="2020-2022" dataDxfId="2714"/>
  </tableColumns>
  <tableStyleInfo name="TableStyleLight1"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9" xr:uid="{00000000-000C-0000-FFFF-FFFF0E000000}" name="table7b" displayName="table7b" ref="A19:J30" totalsRowShown="0" headerRowDxfId="2701" dataDxfId="2700">
  <tableColumns count="10">
    <tableColumn id="1" xr3:uid="{00000000-0010-0000-0E00-000001000000}" name="Decile" dataDxfId="2711"/>
    <tableColumn id="2" xr3:uid="{00000000-0010-0000-0E00-000002000000}" name="2006-2008" dataDxfId="2710"/>
    <tableColumn id="3" xr3:uid="{00000000-0010-0000-0E00-000003000000}" name="2008-2010" dataDxfId="2709"/>
    <tableColumn id="4" xr3:uid="{00000000-0010-0000-0E00-000004000000}" name="2010-2012" dataDxfId="2708"/>
    <tableColumn id="5" xr3:uid="{00000000-0010-0000-0E00-000005000000}" name="2012-2014" dataDxfId="2707"/>
    <tableColumn id="6" xr3:uid="{00000000-0010-0000-0E00-000006000000}" name="2014-2016" dataDxfId="2706"/>
    <tableColumn id="7" xr3:uid="{00000000-0010-0000-0E00-000007000000}" name="2016-2018" dataDxfId="2705"/>
    <tableColumn id="8" xr3:uid="{00000000-0010-0000-0E00-000008000000}" name="2018-2020" dataDxfId="2704"/>
    <tableColumn id="9" xr3:uid="{00000000-0010-0000-0E00-000009000000}" name=" " dataDxfId="2703"/>
    <tableColumn id="10" xr3:uid="{00000000-0010-0000-0E00-00000A000000}" name="2020-2022" dataDxfId="2702"/>
  </tableColumns>
  <tableStyleInfo name="TableStyleLight1"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0" xr:uid="{00000000-000C-0000-FFFF-FFFF0F000000}" name="table7c" displayName="table7c" ref="A32:J43" totalsRowShown="0" headerRowDxfId="2689" dataDxfId="2688">
  <tableColumns count="10">
    <tableColumn id="1" xr3:uid="{00000000-0010-0000-0F00-000001000000}" name="Decile" dataDxfId="2699"/>
    <tableColumn id="2" xr3:uid="{00000000-0010-0000-0F00-000002000000}" name="2006-2008" dataDxfId="2698"/>
    <tableColumn id="3" xr3:uid="{00000000-0010-0000-0F00-000003000000}" name="2008-2010" dataDxfId="2697"/>
    <tableColumn id="4" xr3:uid="{00000000-0010-0000-0F00-000004000000}" name="2010-2012" dataDxfId="2696"/>
    <tableColumn id="5" xr3:uid="{00000000-0010-0000-0F00-000005000000}" name="2012-2014" dataDxfId="2695"/>
    <tableColumn id="6" xr3:uid="{00000000-0010-0000-0F00-000006000000}" name="2014-2016" dataDxfId="2694"/>
    <tableColumn id="7" xr3:uid="{00000000-0010-0000-0F00-000007000000}" name="2016-2018" dataDxfId="2693"/>
    <tableColumn id="8" xr3:uid="{00000000-0010-0000-0F00-000008000000}" name="2018-2020" dataDxfId="2692"/>
    <tableColumn id="9" xr3:uid="{00000000-0010-0000-0F00-000009000000}" name=" " dataDxfId="2691"/>
    <tableColumn id="10" xr3:uid="{00000000-0010-0000-0F00-00000A000000}" name="2020-2022" dataDxfId="2690"/>
  </tableColumns>
  <tableStyleInfo name="TableStyleLight1"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1" xr:uid="{00000000-000C-0000-FFFF-FFFF10000000}" name="table8a" displayName="table8a" ref="A6:K12" totalsRowShown="0" headerRowDxfId="2676" dataDxfId="2675">
  <tableColumns count="11">
    <tableColumn id="1" xr3:uid="{00000000-0010-0000-1000-000001000000}" name="Age" dataDxfId="2687"/>
    <tableColumn id="2" xr3:uid="{00000000-0010-0000-1000-000002000000}" name="1" dataDxfId="2686"/>
    <tableColumn id="3" xr3:uid="{00000000-0010-0000-1000-000003000000}" name="2" dataDxfId="2685"/>
    <tableColumn id="4" xr3:uid="{00000000-0010-0000-1000-000004000000}" name="3" dataDxfId="2684"/>
    <tableColumn id="5" xr3:uid="{00000000-0010-0000-1000-000005000000}" name="4" dataDxfId="2683"/>
    <tableColumn id="6" xr3:uid="{00000000-0010-0000-1000-000006000000}" name="5" dataDxfId="2682"/>
    <tableColumn id="7" xr3:uid="{00000000-0010-0000-1000-000007000000}" name="6" dataDxfId="2681"/>
    <tableColumn id="8" xr3:uid="{00000000-0010-0000-1000-000008000000}" name="7" dataDxfId="2680"/>
    <tableColumn id="9" xr3:uid="{00000000-0010-0000-1000-000009000000}" name="8" dataDxfId="2679"/>
    <tableColumn id="10" xr3:uid="{00000000-0010-0000-1000-00000A000000}" name="9" dataDxfId="2678"/>
    <tableColumn id="11" xr3:uid="{00000000-0010-0000-1000-00000B000000}" name="10" dataDxfId="2677"/>
  </tableColumns>
  <tableStyleInfo name="TableStyleLight1"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00000000-000C-0000-FFFF-FFFF11000000}" name="table8b" displayName="table8b" ref="A14:K15" totalsRowShown="0" headerRowDxfId="2663" dataDxfId="2662">
  <tableColumns count="11">
    <tableColumn id="1" xr3:uid="{00000000-0010-0000-1100-000001000000}" name="Group" dataDxfId="2674"/>
    <tableColumn id="2" xr3:uid="{00000000-0010-0000-1100-000002000000}" name="1" dataDxfId="2673"/>
    <tableColumn id="3" xr3:uid="{00000000-0010-0000-1100-000003000000}" name="2" dataDxfId="2672"/>
    <tableColumn id="4" xr3:uid="{00000000-0010-0000-1100-000004000000}" name="3" dataDxfId="2671"/>
    <tableColumn id="5" xr3:uid="{00000000-0010-0000-1100-000005000000}" name="4" dataDxfId="2670"/>
    <tableColumn id="6" xr3:uid="{00000000-0010-0000-1100-000006000000}" name="5" dataDxfId="2669"/>
    <tableColumn id="7" xr3:uid="{00000000-0010-0000-1100-000007000000}" name="6" dataDxfId="2668"/>
    <tableColumn id="8" xr3:uid="{00000000-0010-0000-1100-000008000000}" name="7" dataDxfId="2667"/>
    <tableColumn id="9" xr3:uid="{00000000-0010-0000-1100-000009000000}" name="8" dataDxfId="2666"/>
    <tableColumn id="10" xr3:uid="{00000000-0010-0000-1100-00000A000000}" name="9" dataDxfId="2665"/>
    <tableColumn id="11" xr3:uid="{00000000-0010-0000-1100-00000B000000}" name="10" dataDxfId="2664"/>
  </tableColumns>
  <tableStyleInfo name="TableStyleLight1"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3" xr:uid="{00000000-000C-0000-FFFF-FFFF12000000}" name="table9a" displayName="table9a" ref="A6:J7" totalsRowShown="0" headerRowDxfId="2651" dataDxfId="2650">
  <tableColumns count="10">
    <tableColumn id="1" xr3:uid="{00000000-0010-0000-1200-000001000000}" name="Measure" dataDxfId="2661"/>
    <tableColumn id="2" xr3:uid="{00000000-0010-0000-1200-000002000000}" name="2006-2008" dataDxfId="2660"/>
    <tableColumn id="3" xr3:uid="{00000000-0010-0000-1200-000003000000}" name="2008-2010" dataDxfId="2659"/>
    <tableColumn id="4" xr3:uid="{00000000-0010-0000-1200-000004000000}" name="2010-2012" dataDxfId="2658"/>
    <tableColumn id="5" xr3:uid="{00000000-0010-0000-1200-000005000000}" name="2012-2014" dataDxfId="2657"/>
    <tableColumn id="6" xr3:uid="{00000000-0010-0000-1200-000006000000}" name="2014-2016" dataDxfId="2656"/>
    <tableColumn id="7" xr3:uid="{00000000-0010-0000-1200-000007000000}" name="2016-2018" dataDxfId="2655"/>
    <tableColumn id="8" xr3:uid="{00000000-0010-0000-1200-000008000000}" name="2018-2020" dataDxfId="2654"/>
    <tableColumn id="9" xr3:uid="{00000000-0010-0000-1200-000009000000}" name=" " dataDxfId="2653"/>
    <tableColumn id="10" xr3:uid="{00000000-0010-0000-1200-00000A000000}" name="2020-2022" dataDxfId="2652"/>
  </tableColumns>
  <tableStyleInfo name="TableStyleLight1"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4" xr:uid="{00000000-000C-0000-FFFF-FFFF13000000}" name="table9b" displayName="table9b" ref="A9:J10" totalsRowShown="0" headerRowDxfId="2639" dataDxfId="2638">
  <tableColumns count="10">
    <tableColumn id="1" xr3:uid="{00000000-0010-0000-1300-000001000000}" name="Group" dataDxfId="2649"/>
    <tableColumn id="2" xr3:uid="{00000000-0010-0000-1300-000002000000}" name="2006-2008" dataDxfId="2648"/>
    <tableColumn id="3" xr3:uid="{00000000-0010-0000-1300-000003000000}" name="2008-2010" dataDxfId="2647"/>
    <tableColumn id="4" xr3:uid="{00000000-0010-0000-1300-000004000000}" name="2010-2012" dataDxfId="2646"/>
    <tableColumn id="5" xr3:uid="{00000000-0010-0000-1300-000005000000}" name="2012-2014" dataDxfId="2645"/>
    <tableColumn id="6" xr3:uid="{00000000-0010-0000-1300-000006000000}" name="2014-2016" dataDxfId="2644"/>
    <tableColumn id="7" xr3:uid="{00000000-0010-0000-1300-000007000000}" name="2016-2018" dataDxfId="2643"/>
    <tableColumn id="8" xr3:uid="{00000000-0010-0000-1300-000008000000}" name="2018-2020" dataDxfId="2642"/>
    <tableColumn id="9" xr3:uid="{00000000-0010-0000-1300-000009000000}" name=" " dataDxfId="2641"/>
    <tableColumn id="10" xr3:uid="{00000000-0010-0000-1300-00000A000000}" name="2020-2022" dataDxfId="2640"/>
  </tableColumns>
  <tableStyleInfo name="TableStyleLight1" showFirstColumn="1"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5" xr:uid="{00000000-000C-0000-FFFF-FFFF14000000}" name="table10a" displayName="table10a" ref="A6:J7" totalsRowShown="0" headerRowDxfId="2627" dataDxfId="2626">
  <tableColumns count="10">
    <tableColumn id="1" xr3:uid="{00000000-0010-0000-1400-000001000000}" name="Measure" dataDxfId="2637"/>
    <tableColumn id="2" xr3:uid="{00000000-0010-0000-1400-000002000000}" name="2006-2008" dataDxfId="2636"/>
    <tableColumn id="3" xr3:uid="{00000000-0010-0000-1400-000003000000}" name="2008-2010" dataDxfId="2635"/>
    <tableColumn id="4" xr3:uid="{00000000-0010-0000-1400-000004000000}" name="2010-2012" dataDxfId="2634"/>
    <tableColumn id="5" xr3:uid="{00000000-0010-0000-1400-000005000000}" name="2012-2014" dataDxfId="2633"/>
    <tableColumn id="6" xr3:uid="{00000000-0010-0000-1400-000006000000}" name="2014-2016" dataDxfId="2632"/>
    <tableColumn id="7" xr3:uid="{00000000-0010-0000-1400-000007000000}" name="2016-2018" dataDxfId="2631"/>
    <tableColumn id="8" xr3:uid="{00000000-0010-0000-1400-000008000000}" name="2018-2020" dataDxfId="2630"/>
    <tableColumn id="9" xr3:uid="{00000000-0010-0000-1400-000009000000}" name=" " dataDxfId="2629"/>
    <tableColumn id="10" xr3:uid="{00000000-0010-0000-1400-00000A000000}" name="2020-2022" dataDxfId="2628"/>
  </tableColumns>
  <tableStyleInfo name="TableStyleLight1" showFirstColumn="1"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6" xr:uid="{00000000-000C-0000-FFFF-FFFF15000000}" name="table10b" displayName="table10b" ref="A9:J10" totalsRowShown="0" headerRowDxfId="2615" dataDxfId="2614">
  <tableColumns count="10">
    <tableColumn id="1" xr3:uid="{00000000-0010-0000-1500-000001000000}" name="Group" dataDxfId="2625"/>
    <tableColumn id="2" xr3:uid="{00000000-0010-0000-1500-000002000000}" name="2006-2008" dataDxfId="2624"/>
    <tableColumn id="3" xr3:uid="{00000000-0010-0000-1500-000003000000}" name="2008-2010" dataDxfId="2623"/>
    <tableColumn id="4" xr3:uid="{00000000-0010-0000-1500-000004000000}" name="2010-2012" dataDxfId="2622"/>
    <tableColumn id="5" xr3:uid="{00000000-0010-0000-1500-000005000000}" name="2012-2014" dataDxfId="2621"/>
    <tableColumn id="6" xr3:uid="{00000000-0010-0000-1500-000006000000}" name="2014-2016" dataDxfId="2620"/>
    <tableColumn id="7" xr3:uid="{00000000-0010-0000-1500-000007000000}" name="2016-2018" dataDxfId="2619"/>
    <tableColumn id="8" xr3:uid="{00000000-0010-0000-1500-000008000000}" name="2018-2020" dataDxfId="2618"/>
    <tableColumn id="9" xr3:uid="{00000000-0010-0000-1500-000009000000}" name=" " dataDxfId="2617"/>
    <tableColumn id="10" xr3:uid="{00000000-0010-0000-1500-00000A000000}" name="2020-2022" dataDxfId="2616"/>
  </tableColumns>
  <tableStyleInfo name="TableStyleLight1" showFirstColumn="1"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7" xr:uid="{00000000-000C-0000-FFFF-FFFF16000000}" name="table11a" displayName="table11a" ref="A6:J10" totalsRowShown="0" headerRowDxfId="2603" dataDxfId="2602">
  <tableColumns count="10">
    <tableColumn id="1" xr3:uid="{00000000-0010-0000-1600-000001000000}" name="Income group" dataDxfId="2613"/>
    <tableColumn id="2" xr3:uid="{00000000-0010-0000-1600-000002000000}" name="2006-2008" dataDxfId="2612"/>
    <tableColumn id="3" xr3:uid="{00000000-0010-0000-1600-000003000000}" name="2008-2010" dataDxfId="2611"/>
    <tableColumn id="4" xr3:uid="{00000000-0010-0000-1600-000004000000}" name="2010-2012" dataDxfId="2610"/>
    <tableColumn id="5" xr3:uid="{00000000-0010-0000-1600-000005000000}" name="2012-2014" dataDxfId="2609"/>
    <tableColumn id="6" xr3:uid="{00000000-0010-0000-1600-000006000000}" name="2014-2016" dataDxfId="2608"/>
    <tableColumn id="7" xr3:uid="{00000000-0010-0000-1600-000007000000}" name="2016-2018" dataDxfId="2607"/>
    <tableColumn id="8" xr3:uid="{00000000-0010-0000-1600-000008000000}" name="2018-2020" dataDxfId="2606"/>
    <tableColumn id="9" xr3:uid="{00000000-0010-0000-1600-000009000000}" name=" " dataDxfId="2605"/>
    <tableColumn id="10" xr3:uid="{00000000-0010-0000-1600-00000A000000}" name="2020-2022" dataDxfId="2604"/>
  </tableColumns>
  <tableStyleInfo name="TableStyleLight1" showFirstColumn="1"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8" xr:uid="{00000000-000C-0000-FFFF-FFFF17000000}" name="table11b" displayName="table11b" ref="A12:J13" totalsRowShown="0" headerRowDxfId="2591" dataDxfId="2590">
  <tableColumns count="10">
    <tableColumn id="1" xr3:uid="{00000000-0010-0000-1700-000001000000}" name="Group" dataDxfId="2601"/>
    <tableColumn id="2" xr3:uid="{00000000-0010-0000-1700-000002000000}" name="2006-2008" dataDxfId="2600"/>
    <tableColumn id="3" xr3:uid="{00000000-0010-0000-1700-000003000000}" name="2008-2010" dataDxfId="2599"/>
    <tableColumn id="4" xr3:uid="{00000000-0010-0000-1700-000004000000}" name="2010-2012" dataDxfId="2598"/>
    <tableColumn id="5" xr3:uid="{00000000-0010-0000-1700-000005000000}" name="2012-2014" dataDxfId="2597"/>
    <tableColumn id="6" xr3:uid="{00000000-0010-0000-1700-000006000000}" name="2014-2016" dataDxfId="2596"/>
    <tableColumn id="7" xr3:uid="{00000000-0010-0000-1700-000007000000}" name="2016-2018" dataDxfId="2595"/>
    <tableColumn id="8" xr3:uid="{00000000-0010-0000-1700-000008000000}" name="2018-2020" dataDxfId="2594"/>
    <tableColumn id="9" xr3:uid="{00000000-0010-0000-1700-000009000000}" name=" " dataDxfId="2593"/>
    <tableColumn id="10" xr3:uid="{00000000-0010-0000-1700-00000A000000}" name="2020-2022" dataDxfId="2592"/>
  </tableColumns>
  <tableStyleInfo name="TableStyleLight1" showFirstColumn="1"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9" xr:uid="{00000000-000C-0000-FFFF-FFFF18000000}" name="table12a" displayName="table12a" ref="A6:J7" totalsRowShown="0" headerRowDxfId="2579" dataDxfId="2578">
  <tableColumns count="10">
    <tableColumn id="1" xr3:uid="{00000000-0010-0000-1800-000001000000}" name="Measure" dataDxfId="2589"/>
    <tableColumn id="2" xr3:uid="{00000000-0010-0000-1800-000002000000}" name="2006-2008" dataDxfId="2588"/>
    <tableColumn id="3" xr3:uid="{00000000-0010-0000-1800-000003000000}" name="2008-2010" dataDxfId="2587"/>
    <tableColumn id="4" xr3:uid="{00000000-0010-0000-1800-000004000000}" name="2010-2012" dataDxfId="2586"/>
    <tableColumn id="5" xr3:uid="{00000000-0010-0000-1800-000005000000}" name="2012-2014" dataDxfId="2585"/>
    <tableColumn id="6" xr3:uid="{00000000-0010-0000-1800-000006000000}" name="2014-2016" dataDxfId="2584"/>
    <tableColumn id="7" xr3:uid="{00000000-0010-0000-1800-000007000000}" name="2016-2018" dataDxfId="2583"/>
    <tableColumn id="8" xr3:uid="{00000000-0010-0000-1800-000008000000}" name="2018-2020" dataDxfId="2582"/>
    <tableColumn id="9" xr3:uid="{00000000-0010-0000-1800-000009000000}" name=" " dataDxfId="2581"/>
    <tableColumn id="10" xr3:uid="{00000000-0010-0000-1800-00000A000000}" name="2020-2022" dataDxfId="2580"/>
  </tableColumns>
  <tableStyleInfo name="TableStyleLight1" showFirstColumn="1"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0" xr:uid="{00000000-000C-0000-FFFF-FFFF19000000}" name="table12b" displayName="table12b" ref="A9:J10" totalsRowShown="0" headerRowDxfId="2567" dataDxfId="2566">
  <tableColumns count="10">
    <tableColumn id="1" xr3:uid="{00000000-0010-0000-1900-000001000000}" name="Group" dataDxfId="2577"/>
    <tableColumn id="2" xr3:uid="{00000000-0010-0000-1900-000002000000}" name="2006-2008" dataDxfId="2576"/>
    <tableColumn id="3" xr3:uid="{00000000-0010-0000-1900-000003000000}" name="2008-2010" dataDxfId="2575"/>
    <tableColumn id="4" xr3:uid="{00000000-0010-0000-1900-000004000000}" name="2010-2012" dataDxfId="2574"/>
    <tableColumn id="5" xr3:uid="{00000000-0010-0000-1900-000005000000}" name="2012-2014" dataDxfId="2573"/>
    <tableColumn id="6" xr3:uid="{00000000-0010-0000-1900-000006000000}" name="2014-2016" dataDxfId="2572"/>
    <tableColumn id="7" xr3:uid="{00000000-0010-0000-1900-000007000000}" name="2016-2018" dataDxfId="2571"/>
    <tableColumn id="8" xr3:uid="{00000000-0010-0000-1900-000008000000}" name="2018-2020" dataDxfId="2570"/>
    <tableColumn id="9" xr3:uid="{00000000-0010-0000-1900-000009000000}" name=" " dataDxfId="2569"/>
    <tableColumn id="10" xr3:uid="{00000000-0010-0000-1900-00000A000000}" name="2020-2022" dataDxfId="2568"/>
  </tableColumns>
  <tableStyleInfo name="TableStyleLight1" showFirstColumn="1"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1" xr:uid="{00000000-000C-0000-FFFF-FFFF1A000000}" name="table13a" displayName="table13a" ref="A7:J12" totalsRowShown="0" headerRowDxfId="2555" dataDxfId="2554">
  <tableColumns count="10">
    <tableColumn id="1" xr3:uid="{00000000-0010-0000-1A00-000001000000}" name="Type" dataDxfId="2565"/>
    <tableColumn id="2" xr3:uid="{00000000-0010-0000-1A00-000002000000}" name="2006-2008" dataDxfId="2564"/>
    <tableColumn id="3" xr3:uid="{00000000-0010-0000-1A00-000003000000}" name="2008-2010" dataDxfId="2563"/>
    <tableColumn id="4" xr3:uid="{00000000-0010-0000-1A00-000004000000}" name="2010-2012" dataDxfId="2562"/>
    <tableColumn id="5" xr3:uid="{00000000-0010-0000-1A00-000005000000}" name="2012-2014" dataDxfId="2561"/>
    <tableColumn id="6" xr3:uid="{00000000-0010-0000-1A00-000006000000}" name="2014-2016" dataDxfId="2560"/>
    <tableColumn id="7" xr3:uid="{00000000-0010-0000-1A00-000007000000}" name="2016-2018" dataDxfId="2559"/>
    <tableColumn id="8" xr3:uid="{00000000-0010-0000-1A00-000008000000}" name="2018-2020" dataDxfId="2558"/>
    <tableColumn id="9" xr3:uid="{00000000-0010-0000-1A00-000009000000}" name=" " dataDxfId="2557"/>
    <tableColumn id="10" xr3:uid="{00000000-0010-0000-1A00-00000A000000}" name="2020-2022" dataDxfId="2556"/>
  </tableColumns>
  <tableStyleInfo name="TableStyleLight1" showFirstColumn="1"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2" xr:uid="{00000000-000C-0000-FFFF-FFFF1B000000}" name="table13b" displayName="table13b" ref="A14:J19" totalsRowShown="0" headerRowDxfId="2543" dataDxfId="2542">
  <tableColumns count="10">
    <tableColumn id="1" xr3:uid="{00000000-0010-0000-1B00-000001000000}" name="Type" dataDxfId="2553"/>
    <tableColumn id="2" xr3:uid="{00000000-0010-0000-1B00-000002000000}" name="2006-2008" dataDxfId="2552"/>
    <tableColumn id="3" xr3:uid="{00000000-0010-0000-1B00-000003000000}" name="2008-2010" dataDxfId="2551"/>
    <tableColumn id="4" xr3:uid="{00000000-0010-0000-1B00-000004000000}" name="2010-2012" dataDxfId="2550"/>
    <tableColumn id="5" xr3:uid="{00000000-0010-0000-1B00-000005000000}" name="2012-2014" dataDxfId="2549"/>
    <tableColumn id="6" xr3:uid="{00000000-0010-0000-1B00-000006000000}" name="2014-2016" dataDxfId="2548"/>
    <tableColumn id="7" xr3:uid="{00000000-0010-0000-1B00-000007000000}" name="2016-2018" dataDxfId="2547"/>
    <tableColumn id="8" xr3:uid="{00000000-0010-0000-1B00-000008000000}" name="2018-2020" dataDxfId="2546"/>
    <tableColumn id="9" xr3:uid="{00000000-0010-0000-1B00-000009000000}" name=" " dataDxfId="2545"/>
    <tableColumn id="10" xr3:uid="{00000000-0010-0000-1B00-00000A000000}" name="2020-2022" dataDxfId="2544"/>
  </tableColumns>
  <tableStyleInfo name="TableStyleLight1" showFirstColumn="1"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3" xr:uid="{00000000-000C-0000-FFFF-FFFF1C000000}" name="table14a" displayName="table14a" ref="A7:H15" totalsRowShown="0" headerRowDxfId="2533" dataDxfId="2532">
  <tableColumns count="8">
    <tableColumn id="1" xr3:uid="{00000000-0010-0000-1C00-000001000000}" name="Group" dataDxfId="2541"/>
    <tableColumn id="2" xr3:uid="{00000000-0010-0000-1C00-000002000000}" name="2010-2012" dataDxfId="2540"/>
    <tableColumn id="3" xr3:uid="{00000000-0010-0000-1C00-000003000000}" name="2012-2014" dataDxfId="2539"/>
    <tableColumn id="4" xr3:uid="{00000000-0010-0000-1C00-000004000000}" name="2014-2016" dataDxfId="2538"/>
    <tableColumn id="5" xr3:uid="{00000000-0010-0000-1C00-000005000000}" name="2016-2018" dataDxfId="2537"/>
    <tableColumn id="6" xr3:uid="{00000000-0010-0000-1C00-000006000000}" name="2018-2020" dataDxfId="2536"/>
    <tableColumn id="7" xr3:uid="{00000000-0010-0000-1C00-000007000000}" name=" " dataDxfId="2535"/>
    <tableColumn id="8" xr3:uid="{00000000-0010-0000-1C00-000008000000}" name="2020-2022" dataDxfId="2534"/>
  </tableColumns>
  <tableStyleInfo name="TableStyleLight1" showFirstColumn="1"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4" xr:uid="{00000000-000C-0000-FFFF-FFFF1D000000}" name="table14b" displayName="table14b" ref="A17:H25" totalsRowShown="0" headerRowDxfId="2523" dataDxfId="2522">
  <tableColumns count="8">
    <tableColumn id="1" xr3:uid="{00000000-0010-0000-1D00-000001000000}" name="Group" dataDxfId="2531"/>
    <tableColumn id="2" xr3:uid="{00000000-0010-0000-1D00-000002000000}" name="2010-2012" dataDxfId="2530"/>
    <tableColumn id="3" xr3:uid="{00000000-0010-0000-1D00-000003000000}" name="2012-2014" dataDxfId="2529"/>
    <tableColumn id="4" xr3:uid="{00000000-0010-0000-1D00-000004000000}" name="2014-2016" dataDxfId="2528"/>
    <tableColumn id="5" xr3:uid="{00000000-0010-0000-1D00-000005000000}" name="2016-2018" dataDxfId="2527"/>
    <tableColumn id="6" xr3:uid="{00000000-0010-0000-1D00-000006000000}" name="2018-2020" dataDxfId="2526"/>
    <tableColumn id="7" xr3:uid="{00000000-0010-0000-1D00-000007000000}" name=" " dataDxfId="2525"/>
    <tableColumn id="8" xr3:uid="{00000000-0010-0000-1D00-000008000000}" name="2020-2022" dataDxfId="2524"/>
  </tableColumns>
  <tableStyleInfo name="TableStyleLight1" showFirstColumn="1"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5" xr:uid="{00000000-000C-0000-FFFF-FFFF1E000000}" name="table14c" displayName="table14c" ref="A27:H35" totalsRowShown="0" headerRowDxfId="2513" dataDxfId="2512">
  <tableColumns count="8">
    <tableColumn id="1" xr3:uid="{00000000-0010-0000-1E00-000001000000}" name="Group" dataDxfId="2521"/>
    <tableColumn id="2" xr3:uid="{00000000-0010-0000-1E00-000002000000}" name="2010-2012" dataDxfId="2520"/>
    <tableColumn id="3" xr3:uid="{00000000-0010-0000-1E00-000003000000}" name="2012-2014" dataDxfId="2519"/>
    <tableColumn id="4" xr3:uid="{00000000-0010-0000-1E00-000004000000}" name="2014-2016" dataDxfId="2518"/>
    <tableColumn id="5" xr3:uid="{00000000-0010-0000-1E00-000005000000}" name="2016-2018" dataDxfId="2517"/>
    <tableColumn id="6" xr3:uid="{00000000-0010-0000-1E00-000006000000}" name="2018-2020" dataDxfId="2516"/>
    <tableColumn id="7" xr3:uid="{00000000-0010-0000-1E00-000007000000}" name=" " dataDxfId="2515"/>
    <tableColumn id="8" xr3:uid="{00000000-0010-0000-1E00-000008000000}" name="2020-2022" dataDxfId="2514"/>
  </tableColumns>
  <tableStyleInfo name="TableStyleLight1" showFirstColumn="1"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6" xr:uid="{00000000-000C-0000-FFFF-FFFF1F000000}" name="table15a" displayName="table15a" ref="A7:F15" totalsRowShown="0" headerRowDxfId="2505" dataDxfId="2504">
  <tableColumns count="6">
    <tableColumn id="1" xr3:uid="{00000000-0010-0000-1F00-000001000000}" name="Group" dataDxfId="2511"/>
    <tableColumn id="2" xr3:uid="{00000000-0010-0000-1F00-000002000000}" name="2014-2016" dataDxfId="2510"/>
    <tableColumn id="3" xr3:uid="{00000000-0010-0000-1F00-000003000000}" name="2016-2018" dataDxfId="2509"/>
    <tableColumn id="4" xr3:uid="{00000000-0010-0000-1F00-000004000000}" name="2018-2020" dataDxfId="2508"/>
    <tableColumn id="5" xr3:uid="{00000000-0010-0000-1F00-000005000000}" name=" " dataDxfId="2507"/>
    <tableColumn id="6" xr3:uid="{00000000-0010-0000-1F00-000006000000}" name="2020-2022" dataDxfId="2506"/>
  </tableColumns>
  <tableStyleInfo name="TableStyleLight1" showFirstColumn="1"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7" xr:uid="{00000000-000C-0000-FFFF-FFFF20000000}" name="table15b" displayName="table15b" ref="A17:F25" totalsRowShown="0" headerRowDxfId="2497" dataDxfId="2496">
  <tableColumns count="6">
    <tableColumn id="1" xr3:uid="{00000000-0010-0000-2000-000001000000}" name="Group" dataDxfId="2503"/>
    <tableColumn id="2" xr3:uid="{00000000-0010-0000-2000-000002000000}" name="2014-2016" dataDxfId="2502"/>
    <tableColumn id="3" xr3:uid="{00000000-0010-0000-2000-000003000000}" name="2016-2018" dataDxfId="2501"/>
    <tableColumn id="4" xr3:uid="{00000000-0010-0000-2000-000004000000}" name="2018-2020" dataDxfId="2500"/>
    <tableColumn id="5" xr3:uid="{00000000-0010-0000-2000-000005000000}" name=" " dataDxfId="2499"/>
    <tableColumn id="6" xr3:uid="{00000000-0010-0000-2000-000006000000}" name="2020-2022" dataDxfId="2498"/>
  </tableColumns>
  <tableStyleInfo name="TableStyleLight1" showFirstColumn="1"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8" xr:uid="{00000000-000C-0000-FFFF-FFFF21000000}" name="table15c" displayName="table15c" ref="A27:F35" totalsRowShown="0" headerRowDxfId="2489" dataDxfId="2488">
  <tableColumns count="6">
    <tableColumn id="1" xr3:uid="{00000000-0010-0000-2100-000001000000}" name="Group" dataDxfId="2495"/>
    <tableColumn id="2" xr3:uid="{00000000-0010-0000-2100-000002000000}" name="2014-2016" dataDxfId="2494"/>
    <tableColumn id="3" xr3:uid="{00000000-0010-0000-2100-000003000000}" name="2016-2018" dataDxfId="2493"/>
    <tableColumn id="4" xr3:uid="{00000000-0010-0000-2100-000004000000}" name="2018-2020" dataDxfId="2492"/>
    <tableColumn id="5" xr3:uid="{00000000-0010-0000-2100-000005000000}" name=" " dataDxfId="2491"/>
    <tableColumn id="6" xr3:uid="{00000000-0010-0000-2100-000006000000}" name="2020-2022" dataDxfId="2490"/>
  </tableColumns>
  <tableStyleInfo name="TableStyleLight1" showFirstColumn="1"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9" xr:uid="{00000000-000C-0000-FFFF-FFFF22000000}" name="table16a" displayName="table16a" ref="A7:H11" totalsRowShown="0" headerRowDxfId="2479" dataDxfId="2478">
  <tableColumns count="8">
    <tableColumn id="1" xr3:uid="{00000000-0010-0000-2200-000001000000}" name="Group" dataDxfId="2487"/>
    <tableColumn id="2" xr3:uid="{00000000-0010-0000-2200-000002000000}" name="2010-2012" dataDxfId="2486"/>
    <tableColumn id="3" xr3:uid="{00000000-0010-0000-2200-000003000000}" name="2012-2014" dataDxfId="2485"/>
    <tableColumn id="4" xr3:uid="{00000000-0010-0000-2200-000004000000}" name="2014-2016" dataDxfId="2484"/>
    <tableColumn id="5" xr3:uid="{00000000-0010-0000-2200-000005000000}" name="2016-2018" dataDxfId="2483"/>
    <tableColumn id="6" xr3:uid="{00000000-0010-0000-2200-000006000000}" name="2018-2020" dataDxfId="2482"/>
    <tableColumn id="7" xr3:uid="{00000000-0010-0000-2200-000007000000}" name=" " dataDxfId="2481"/>
    <tableColumn id="8" xr3:uid="{00000000-0010-0000-2200-000008000000}" name="2020-2022" dataDxfId="2480"/>
  </tableColumns>
  <tableStyleInfo name="TableStyleLight1" showFirstColumn="1"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0" xr:uid="{00000000-000C-0000-FFFF-FFFF23000000}" name="table16b" displayName="table16b" ref="A13:H17" totalsRowShown="0" headerRowDxfId="2469" dataDxfId="2468">
  <tableColumns count="8">
    <tableColumn id="1" xr3:uid="{00000000-0010-0000-2300-000001000000}" name="Group" dataDxfId="2477"/>
    <tableColumn id="2" xr3:uid="{00000000-0010-0000-2300-000002000000}" name="2010-2012" dataDxfId="2476"/>
    <tableColumn id="3" xr3:uid="{00000000-0010-0000-2300-000003000000}" name="2012-2014" dataDxfId="2475"/>
    <tableColumn id="4" xr3:uid="{00000000-0010-0000-2300-000004000000}" name="2014-2016" dataDxfId="2474"/>
    <tableColumn id="5" xr3:uid="{00000000-0010-0000-2300-000005000000}" name="2016-2018" dataDxfId="2473"/>
    <tableColumn id="6" xr3:uid="{00000000-0010-0000-2300-000006000000}" name="2018-2020" dataDxfId="2472"/>
    <tableColumn id="7" xr3:uid="{00000000-0010-0000-2300-000007000000}" name=" " dataDxfId="2471"/>
    <tableColumn id="8" xr3:uid="{00000000-0010-0000-2300-000008000000}" name="2020-2022" dataDxfId="2470"/>
  </tableColumns>
  <tableStyleInfo name="TableStyleLight1" showFirstColumn="1"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1" xr:uid="{00000000-000C-0000-FFFF-FFFF24000000}" name="table16c" displayName="table16c" ref="A19:H23" totalsRowShown="0" headerRowDxfId="2459" dataDxfId="2458">
  <tableColumns count="8">
    <tableColumn id="1" xr3:uid="{00000000-0010-0000-2400-000001000000}" name="Group" dataDxfId="2467"/>
    <tableColumn id="2" xr3:uid="{00000000-0010-0000-2400-000002000000}" name="2010-2012" dataDxfId="2466"/>
    <tableColumn id="3" xr3:uid="{00000000-0010-0000-2400-000003000000}" name="2012-2014" dataDxfId="2465"/>
    <tableColumn id="4" xr3:uid="{00000000-0010-0000-2400-000004000000}" name="2014-2016" dataDxfId="2464"/>
    <tableColumn id="5" xr3:uid="{00000000-0010-0000-2400-000005000000}" name="2016-2018" dataDxfId="2463"/>
    <tableColumn id="6" xr3:uid="{00000000-0010-0000-2400-000006000000}" name="2018-2020" dataDxfId="2462"/>
    <tableColumn id="7" xr3:uid="{00000000-0010-0000-2400-000007000000}" name=" " dataDxfId="2461"/>
    <tableColumn id="8" xr3:uid="{00000000-0010-0000-2400-000008000000}" name="2020-2022" dataDxfId="2460"/>
  </tableColumns>
  <tableStyleInfo name="TableStyleLight1" showFirstColumn="1"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2" xr:uid="{00000000-000C-0000-FFFF-FFFF25000000}" name="table17a" displayName="table17a" ref="A8:H14" totalsRowShown="0" headerRowDxfId="2449" dataDxfId="2448">
  <tableColumns count="8">
    <tableColumn id="1" xr3:uid="{00000000-0010-0000-2500-000001000000}" name="Group" dataDxfId="2457"/>
    <tableColumn id="2" xr3:uid="{00000000-0010-0000-2500-000002000000}" name="2010-2012" dataDxfId="2456"/>
    <tableColumn id="3" xr3:uid="{00000000-0010-0000-2500-000003000000}" name="2012-2014" dataDxfId="2455"/>
    <tableColumn id="4" xr3:uid="{00000000-0010-0000-2500-000004000000}" name="2014-2016" dataDxfId="2454"/>
    <tableColumn id="5" xr3:uid="{00000000-0010-0000-2500-000005000000}" name="2016-2018" dataDxfId="2453"/>
    <tableColumn id="6" xr3:uid="{00000000-0010-0000-2500-000006000000}" name="2018-2020" dataDxfId="2452"/>
    <tableColumn id="7" xr3:uid="{00000000-0010-0000-2500-000007000000}" name=" " dataDxfId="2451"/>
    <tableColumn id="8" xr3:uid="{00000000-0010-0000-2500-000008000000}" name="2020-2022" dataDxfId="2450"/>
  </tableColumns>
  <tableStyleInfo name="TableStyleLight1" showFirstColumn="1"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3" xr:uid="{00000000-000C-0000-FFFF-FFFF26000000}" name="table17b" displayName="table17b" ref="A16:H22" totalsRowShown="0" headerRowDxfId="2439" dataDxfId="2438">
  <tableColumns count="8">
    <tableColumn id="1" xr3:uid="{00000000-0010-0000-2600-000001000000}" name="Group" dataDxfId="2447"/>
    <tableColumn id="2" xr3:uid="{00000000-0010-0000-2600-000002000000}" name="2010-2012" dataDxfId="2446"/>
    <tableColumn id="3" xr3:uid="{00000000-0010-0000-2600-000003000000}" name="2012-2014" dataDxfId="2445"/>
    <tableColumn id="4" xr3:uid="{00000000-0010-0000-2600-000004000000}" name="2014-2016" dataDxfId="2444"/>
    <tableColumn id="5" xr3:uid="{00000000-0010-0000-2600-000005000000}" name="2016-2018" dataDxfId="2443"/>
    <tableColumn id="6" xr3:uid="{00000000-0010-0000-2600-000006000000}" name="2018-2020" dataDxfId="2442"/>
    <tableColumn id="7" xr3:uid="{00000000-0010-0000-2600-000007000000}" name=" " dataDxfId="2441"/>
    <tableColumn id="8" xr3:uid="{00000000-0010-0000-2600-000008000000}" name="2020-2022" dataDxfId="2440"/>
  </tableColumns>
  <tableStyleInfo name="TableStyleLight1" showFirstColumn="1"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4" xr:uid="{00000000-000C-0000-FFFF-FFFF27000000}" name="table17c" displayName="table17c" ref="A24:H30" totalsRowShown="0" headerRowDxfId="2429" dataDxfId="2428">
  <tableColumns count="8">
    <tableColumn id="1" xr3:uid="{00000000-0010-0000-2700-000001000000}" name="Group" dataDxfId="2437"/>
    <tableColumn id="2" xr3:uid="{00000000-0010-0000-2700-000002000000}" name="2010-2012" dataDxfId="2436"/>
    <tableColumn id="3" xr3:uid="{00000000-0010-0000-2700-000003000000}" name="2012-2014" dataDxfId="2435"/>
    <tableColumn id="4" xr3:uid="{00000000-0010-0000-2700-000004000000}" name="2014-2016" dataDxfId="2434"/>
    <tableColumn id="5" xr3:uid="{00000000-0010-0000-2700-000005000000}" name="2016-2018" dataDxfId="2433"/>
    <tableColumn id="6" xr3:uid="{00000000-0010-0000-2700-000006000000}" name="2018-2020" dataDxfId="2432"/>
    <tableColumn id="7" xr3:uid="{00000000-0010-0000-2700-000007000000}" name=" " dataDxfId="2431"/>
    <tableColumn id="8" xr3:uid="{00000000-0010-0000-2700-000008000000}" name="2020-2022" dataDxfId="2430"/>
  </tableColumns>
  <tableStyleInfo name="TableStyleLight1" showFirstColumn="1"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5" xr:uid="{00000000-000C-0000-FFFF-FFFF28000000}" name="table18a" displayName="table18a" ref="A9:F12" totalsRowShown="0" headerRowDxfId="2421" dataDxfId="2420">
  <tableColumns count="6">
    <tableColumn id="1" xr3:uid="{00000000-0010-0000-2800-000001000000}" name="Group" dataDxfId="2427"/>
    <tableColumn id="2" xr3:uid="{00000000-0010-0000-2800-000002000000}" name="2014-2016" dataDxfId="2426"/>
    <tableColumn id="3" xr3:uid="{00000000-0010-0000-2800-000003000000}" name="2016-2018" dataDxfId="2425"/>
    <tableColumn id="4" xr3:uid="{00000000-0010-0000-2800-000004000000}" name="2018-2020" dataDxfId="2424"/>
    <tableColumn id="5" xr3:uid="{00000000-0010-0000-2800-000005000000}" name=" " dataDxfId="2423"/>
    <tableColumn id="6" xr3:uid="{00000000-0010-0000-2800-000006000000}" name="2020-2022" dataDxfId="2422"/>
  </tableColumns>
  <tableStyleInfo name="TableStyleLight1" showFirstColumn="1"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6" xr:uid="{00000000-000C-0000-FFFF-FFFF29000000}" name="table18b" displayName="table18b" ref="A14:F17" totalsRowShown="0" headerRowDxfId="2413" dataDxfId="2412">
  <tableColumns count="6">
    <tableColumn id="1" xr3:uid="{00000000-0010-0000-2900-000001000000}" name="Group" dataDxfId="2419"/>
    <tableColumn id="2" xr3:uid="{00000000-0010-0000-2900-000002000000}" name="2014-2016" dataDxfId="2418"/>
    <tableColumn id="3" xr3:uid="{00000000-0010-0000-2900-000003000000}" name="2016-2018" dataDxfId="2417"/>
    <tableColumn id="4" xr3:uid="{00000000-0010-0000-2900-000004000000}" name="2018-2020" dataDxfId="2416"/>
    <tableColumn id="5" xr3:uid="{00000000-0010-0000-2900-000005000000}" name=" " dataDxfId="2415"/>
    <tableColumn id="6" xr3:uid="{00000000-0010-0000-2900-000006000000}" name="2020-2022" dataDxfId="2414"/>
  </tableColumns>
  <tableStyleInfo name="TableStyleLight1" showFirstColumn="1"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7" xr:uid="{00000000-000C-0000-FFFF-FFFF2A000000}" name="table18c" displayName="table18c" ref="A19:F22" totalsRowShown="0" headerRowDxfId="2405" dataDxfId="2404">
  <tableColumns count="6">
    <tableColumn id="1" xr3:uid="{00000000-0010-0000-2A00-000001000000}" name="Group" dataDxfId="2411"/>
    <tableColumn id="2" xr3:uid="{00000000-0010-0000-2A00-000002000000}" name="2014-2016" dataDxfId="2410"/>
    <tableColumn id="3" xr3:uid="{00000000-0010-0000-2A00-000003000000}" name="2016-2018" dataDxfId="2409"/>
    <tableColumn id="4" xr3:uid="{00000000-0010-0000-2A00-000004000000}" name="2018-2020" dataDxfId="2408"/>
    <tableColumn id="5" xr3:uid="{00000000-0010-0000-2A00-000005000000}" name=" " dataDxfId="2407"/>
    <tableColumn id="6" xr3:uid="{00000000-0010-0000-2A00-000006000000}" name="2020-2022" dataDxfId="2406"/>
  </tableColumns>
  <tableStyleInfo name="TableStyleLight1" showFirstColumn="1"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8" xr:uid="{00000000-000C-0000-FFFF-FFFF2B000000}" name="table19a" displayName="table19a" ref="A8:H12" totalsRowShown="0" headerRowDxfId="2395" dataDxfId="2394">
  <tableColumns count="8">
    <tableColumn id="1" xr3:uid="{00000000-0010-0000-2B00-000001000000}" name="Group" dataDxfId="2403"/>
    <tableColumn id="2" xr3:uid="{00000000-0010-0000-2B00-000002000000}" name="2010-2012" dataDxfId="2402"/>
    <tableColumn id="3" xr3:uid="{00000000-0010-0000-2B00-000003000000}" name="2012-2014" dataDxfId="2401"/>
    <tableColumn id="4" xr3:uid="{00000000-0010-0000-2B00-000004000000}" name="2014-2016" dataDxfId="2400"/>
    <tableColumn id="5" xr3:uid="{00000000-0010-0000-2B00-000005000000}" name="2016-2018" dataDxfId="2399"/>
    <tableColumn id="6" xr3:uid="{00000000-0010-0000-2B00-000006000000}" name="2018-2020" dataDxfId="2398"/>
    <tableColumn id="7" xr3:uid="{00000000-0010-0000-2B00-000007000000}" name=" " dataDxfId="2397"/>
    <tableColumn id="8" xr3:uid="{00000000-0010-0000-2B00-000008000000}" name="2020-2022" dataDxfId="2396"/>
  </tableColumns>
  <tableStyleInfo name="TableStyleLight1" showFirstColumn="1"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9" xr:uid="{00000000-000C-0000-FFFF-FFFF2C000000}" name="table19b" displayName="table19b" ref="A14:H18" totalsRowShown="0" headerRowDxfId="2385" dataDxfId="2384">
  <tableColumns count="8">
    <tableColumn id="1" xr3:uid="{00000000-0010-0000-2C00-000001000000}" name="Group" dataDxfId="2393"/>
    <tableColumn id="2" xr3:uid="{00000000-0010-0000-2C00-000002000000}" name="2010-2012" dataDxfId="2392"/>
    <tableColumn id="3" xr3:uid="{00000000-0010-0000-2C00-000003000000}" name="2012-2014" dataDxfId="2391"/>
    <tableColumn id="4" xr3:uid="{00000000-0010-0000-2C00-000004000000}" name="2014-2016" dataDxfId="2390"/>
    <tableColumn id="5" xr3:uid="{00000000-0010-0000-2C00-000005000000}" name="2016-2018" dataDxfId="2389"/>
    <tableColumn id="6" xr3:uid="{00000000-0010-0000-2C00-000006000000}" name="2018-2020" dataDxfId="2388"/>
    <tableColumn id="7" xr3:uid="{00000000-0010-0000-2C00-000007000000}" name=" " dataDxfId="2387"/>
    <tableColumn id="8" xr3:uid="{00000000-0010-0000-2C00-000008000000}" name="2020-2022" dataDxfId="2386"/>
  </tableColumns>
  <tableStyleInfo name="TableStyleLight1" showFirstColumn="1"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0" xr:uid="{00000000-000C-0000-FFFF-FFFF2D000000}" name="table19c" displayName="table19c" ref="A20:H24" totalsRowShown="0" headerRowDxfId="2375" dataDxfId="2374">
  <tableColumns count="8">
    <tableColumn id="1" xr3:uid="{00000000-0010-0000-2D00-000001000000}" name="Group" dataDxfId="2383"/>
    <tableColumn id="2" xr3:uid="{00000000-0010-0000-2D00-000002000000}" name="2010-2012" dataDxfId="2382"/>
    <tableColumn id="3" xr3:uid="{00000000-0010-0000-2D00-000003000000}" name="2012-2014" dataDxfId="2381"/>
    <tableColumn id="4" xr3:uid="{00000000-0010-0000-2D00-000004000000}" name="2014-2016" dataDxfId="2380"/>
    <tableColumn id="5" xr3:uid="{00000000-0010-0000-2D00-000005000000}" name="2016-2018" dataDxfId="2379"/>
    <tableColumn id="6" xr3:uid="{00000000-0010-0000-2D00-000006000000}" name="2018-2020" dataDxfId="2378"/>
    <tableColumn id="7" xr3:uid="{00000000-0010-0000-2D00-000007000000}" name=" " dataDxfId="2377"/>
    <tableColumn id="8" xr3:uid="{00000000-0010-0000-2D00-000008000000}" name="2020-2022" dataDxfId="2376"/>
  </tableColumns>
  <tableStyleInfo name="TableStyleLight1" showFirstColumn="1"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1" xr:uid="{00000000-000C-0000-FFFF-FFFF2E000000}" name="table20a" displayName="table20a" ref="A9:H12" totalsRowShown="0" headerRowDxfId="2365" dataDxfId="2364">
  <tableColumns count="8">
    <tableColumn id="1" xr3:uid="{00000000-0010-0000-2E00-000001000000}" name="Group" dataDxfId="2373"/>
    <tableColumn id="2" xr3:uid="{00000000-0010-0000-2E00-000002000000}" name="2010-2012" dataDxfId="2372"/>
    <tableColumn id="3" xr3:uid="{00000000-0010-0000-2E00-000003000000}" name="2012-2014" dataDxfId="2371"/>
    <tableColumn id="4" xr3:uid="{00000000-0010-0000-2E00-000004000000}" name="2014-2016" dataDxfId="2370"/>
    <tableColumn id="5" xr3:uid="{00000000-0010-0000-2E00-000005000000}" name="2016-2018" dataDxfId="2369"/>
    <tableColumn id="6" xr3:uid="{00000000-0010-0000-2E00-000006000000}" name="2018-2020" dataDxfId="2368"/>
    <tableColumn id="7" xr3:uid="{00000000-0010-0000-2E00-000007000000}" name=" " dataDxfId="2367"/>
    <tableColumn id="8" xr3:uid="{00000000-0010-0000-2E00-000008000000}" name="2020-2022" dataDxfId="2366"/>
  </tableColumns>
  <tableStyleInfo name="TableStyleLight1" showFirstColumn="1"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2" xr:uid="{00000000-000C-0000-FFFF-FFFF2F000000}" name="table20b" displayName="table20b" ref="A14:H17" totalsRowShown="0" headerRowDxfId="2355" dataDxfId="2354">
  <tableColumns count="8">
    <tableColumn id="1" xr3:uid="{00000000-0010-0000-2F00-000001000000}" name="Group" dataDxfId="2363"/>
    <tableColumn id="2" xr3:uid="{00000000-0010-0000-2F00-000002000000}" name="2010-2012" dataDxfId="2362"/>
    <tableColumn id="3" xr3:uid="{00000000-0010-0000-2F00-000003000000}" name="2012-2014" dataDxfId="2361"/>
    <tableColumn id="4" xr3:uid="{00000000-0010-0000-2F00-000004000000}" name="2014-2016" dataDxfId="2360"/>
    <tableColumn id="5" xr3:uid="{00000000-0010-0000-2F00-000005000000}" name="2016-2018" dataDxfId="2359"/>
    <tableColumn id="6" xr3:uid="{00000000-0010-0000-2F00-000006000000}" name="2018-2020" dataDxfId="2358"/>
    <tableColumn id="7" xr3:uid="{00000000-0010-0000-2F00-000007000000}" name=" " dataDxfId="2357"/>
    <tableColumn id="8" xr3:uid="{00000000-0010-0000-2F00-000008000000}" name="2020-2022" dataDxfId="2356"/>
  </tableColumns>
  <tableStyleInfo name="TableStyleLight1" showFirstColumn="1"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3" xr:uid="{00000000-000C-0000-FFFF-FFFF30000000}" name="table20c" displayName="table20c" ref="A19:H22" totalsRowShown="0" headerRowDxfId="2345" dataDxfId="2344">
  <tableColumns count="8">
    <tableColumn id="1" xr3:uid="{00000000-0010-0000-3000-000001000000}" name="Group" dataDxfId="2353"/>
    <tableColumn id="2" xr3:uid="{00000000-0010-0000-3000-000002000000}" name="2010-2012" dataDxfId="2352"/>
    <tableColumn id="3" xr3:uid="{00000000-0010-0000-3000-000003000000}" name="2012-2014" dataDxfId="2351"/>
    <tableColumn id="4" xr3:uid="{00000000-0010-0000-3000-000004000000}" name="2014-2016" dataDxfId="2350"/>
    <tableColumn id="5" xr3:uid="{00000000-0010-0000-3000-000005000000}" name="2016-2018" dataDxfId="2349"/>
    <tableColumn id="6" xr3:uid="{00000000-0010-0000-3000-000006000000}" name="2018-2020" dataDxfId="2348"/>
    <tableColumn id="7" xr3:uid="{00000000-0010-0000-3000-000007000000}" name=" " dataDxfId="2347"/>
    <tableColumn id="8" xr3:uid="{00000000-0010-0000-3000-000008000000}" name="2020-2022" dataDxfId="2346"/>
  </tableColumns>
  <tableStyleInfo name="TableStyleLight1" showFirstColumn="1"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4" xr:uid="{00000000-000C-0000-FFFF-FFFF31000000}" name="table21a" displayName="table21a" ref="A7:H10" totalsRowShown="0" headerRowDxfId="2335" dataDxfId="2334">
  <tableColumns count="8">
    <tableColumn id="1" xr3:uid="{00000000-0010-0000-3100-000001000000}" name="Group" dataDxfId="2343"/>
    <tableColumn id="2" xr3:uid="{00000000-0010-0000-3100-000002000000}" name="2010-2012" dataDxfId="2342"/>
    <tableColumn id="3" xr3:uid="{00000000-0010-0000-3100-000003000000}" name="2012-2014" dataDxfId="2341"/>
    <tableColumn id="4" xr3:uid="{00000000-0010-0000-3100-000004000000}" name="2014-2016" dataDxfId="2340"/>
    <tableColumn id="5" xr3:uid="{00000000-0010-0000-3100-000005000000}" name="2016-2018" dataDxfId="2339"/>
    <tableColumn id="6" xr3:uid="{00000000-0010-0000-3100-000006000000}" name="2018-2020" dataDxfId="2338"/>
    <tableColumn id="7" xr3:uid="{00000000-0010-0000-3100-000007000000}" name=" " dataDxfId="2337"/>
    <tableColumn id="8" xr3:uid="{00000000-0010-0000-3100-000008000000}" name="2020-2022" dataDxfId="2336"/>
  </tableColumns>
  <tableStyleInfo name="TableStyleLight1" showFirstColumn="1"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5" xr:uid="{00000000-000C-0000-FFFF-FFFF32000000}" name="table21b" displayName="table21b" ref="A12:H15" totalsRowShown="0" headerRowDxfId="2325" dataDxfId="2324">
  <tableColumns count="8">
    <tableColumn id="1" xr3:uid="{00000000-0010-0000-3200-000001000000}" name="Group" dataDxfId="2333"/>
    <tableColumn id="2" xr3:uid="{00000000-0010-0000-3200-000002000000}" name="2010-2012" dataDxfId="2332"/>
    <tableColumn id="3" xr3:uid="{00000000-0010-0000-3200-000003000000}" name="2012-2014" dataDxfId="2331"/>
    <tableColumn id="4" xr3:uid="{00000000-0010-0000-3200-000004000000}" name="2014-2016" dataDxfId="2330"/>
    <tableColumn id="5" xr3:uid="{00000000-0010-0000-3200-000005000000}" name="2016-2018" dataDxfId="2329"/>
    <tableColumn id="6" xr3:uid="{00000000-0010-0000-3200-000006000000}" name="2018-2020" dataDxfId="2328"/>
    <tableColumn id="7" xr3:uid="{00000000-0010-0000-3200-000007000000}" name=" " dataDxfId="2327"/>
    <tableColumn id="8" xr3:uid="{00000000-0010-0000-3200-000008000000}" name="2020-2022" dataDxfId="2326"/>
  </tableColumns>
  <tableStyleInfo name="TableStyleLight1" showFirstColumn="1"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6" xr:uid="{00000000-000C-0000-FFFF-FFFF33000000}" name="table21c" displayName="table21c" ref="A17:H20" totalsRowShown="0" headerRowDxfId="2315" dataDxfId="2314">
  <tableColumns count="8">
    <tableColumn id="1" xr3:uid="{00000000-0010-0000-3300-000001000000}" name="Group" dataDxfId="2323"/>
    <tableColumn id="2" xr3:uid="{00000000-0010-0000-3300-000002000000}" name="2010-2012" dataDxfId="2322"/>
    <tableColumn id="3" xr3:uid="{00000000-0010-0000-3300-000003000000}" name="2012-2014" dataDxfId="2321"/>
    <tableColumn id="4" xr3:uid="{00000000-0010-0000-3300-000004000000}" name="2014-2016" dataDxfId="2320"/>
    <tableColumn id="5" xr3:uid="{00000000-0010-0000-3300-000005000000}" name="2016-2018" dataDxfId="2319"/>
    <tableColumn id="6" xr3:uid="{00000000-0010-0000-3300-000006000000}" name="2018-2020" dataDxfId="2318"/>
    <tableColumn id="7" xr3:uid="{00000000-0010-0000-3300-000007000000}" name=" " dataDxfId="2317"/>
    <tableColumn id="8" xr3:uid="{00000000-0010-0000-3300-000008000000}" name="2020-2022" dataDxfId="2316"/>
  </tableColumns>
  <tableStyleInfo name="TableStyleLight1" showFirstColumn="1"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7" xr:uid="{00000000-000C-0000-FFFF-FFFF34000000}" name="table22a" displayName="table22a" ref="A7:H10" totalsRowShown="0" headerRowDxfId="2305" dataDxfId="2304">
  <tableColumns count="8">
    <tableColumn id="1" xr3:uid="{00000000-0010-0000-3400-000001000000}" name="Group" dataDxfId="2313"/>
    <tableColumn id="2" xr3:uid="{00000000-0010-0000-3400-000002000000}" name="2010-2012" dataDxfId="2312"/>
    <tableColumn id="3" xr3:uid="{00000000-0010-0000-3400-000003000000}" name="2012-2014" dataDxfId="2311"/>
    <tableColumn id="4" xr3:uid="{00000000-0010-0000-3400-000004000000}" name="2014-2016" dataDxfId="2310"/>
    <tableColumn id="5" xr3:uid="{00000000-0010-0000-3400-000005000000}" name="2016-2018" dataDxfId="2309"/>
    <tableColumn id="6" xr3:uid="{00000000-0010-0000-3400-000006000000}" name="2018-2020" dataDxfId="2308"/>
    <tableColumn id="7" xr3:uid="{00000000-0010-0000-3400-000007000000}" name=" " dataDxfId="2307"/>
    <tableColumn id="8" xr3:uid="{00000000-0010-0000-3400-000008000000}" name="2020-2022" dataDxfId="2306"/>
  </tableColumns>
  <tableStyleInfo name="TableStyleLight1" showFirstColumn="1"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8" xr:uid="{00000000-000C-0000-FFFF-FFFF35000000}" name="table22b" displayName="table22b" ref="A12:H15" totalsRowShown="0" headerRowDxfId="2295" dataDxfId="2294">
  <tableColumns count="8">
    <tableColumn id="1" xr3:uid="{00000000-0010-0000-3500-000001000000}" name="Group" dataDxfId="2303"/>
    <tableColumn id="2" xr3:uid="{00000000-0010-0000-3500-000002000000}" name="2010-2012" dataDxfId="2302"/>
    <tableColumn id="3" xr3:uid="{00000000-0010-0000-3500-000003000000}" name="2012-2014" dataDxfId="2301"/>
    <tableColumn id="4" xr3:uid="{00000000-0010-0000-3500-000004000000}" name="2014-2016" dataDxfId="2300"/>
    <tableColumn id="5" xr3:uid="{00000000-0010-0000-3500-000005000000}" name="2016-2018" dataDxfId="2299"/>
    <tableColumn id="6" xr3:uid="{00000000-0010-0000-3500-000006000000}" name="2018-2020" dataDxfId="2298"/>
    <tableColumn id="7" xr3:uid="{00000000-0010-0000-3500-000007000000}" name=" " dataDxfId="2297"/>
    <tableColumn id="8" xr3:uid="{00000000-0010-0000-3500-000008000000}" name="2020-2022" dataDxfId="2296"/>
  </tableColumns>
  <tableStyleInfo name="TableStyleLight1" showFirstColumn="1"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9" xr:uid="{00000000-000C-0000-FFFF-FFFF36000000}" name="table22c" displayName="table22c" ref="A17:H20" totalsRowShown="0" headerRowDxfId="2285" dataDxfId="2284">
  <tableColumns count="8">
    <tableColumn id="1" xr3:uid="{00000000-0010-0000-3600-000001000000}" name="Group" dataDxfId="2293"/>
    <tableColumn id="2" xr3:uid="{00000000-0010-0000-3600-000002000000}" name="2010-2012" dataDxfId="2292"/>
    <tableColumn id="3" xr3:uid="{00000000-0010-0000-3600-000003000000}" name="2012-2014" dataDxfId="2291"/>
    <tableColumn id="4" xr3:uid="{00000000-0010-0000-3600-000004000000}" name="2014-2016" dataDxfId="2290"/>
    <tableColumn id="5" xr3:uid="{00000000-0010-0000-3600-000005000000}" name="2016-2018" dataDxfId="2289"/>
    <tableColumn id="6" xr3:uid="{00000000-0010-0000-3600-000006000000}" name="2018-2020" dataDxfId="2288"/>
    <tableColumn id="7" xr3:uid="{00000000-0010-0000-3600-000007000000}" name=" " dataDxfId="2287"/>
    <tableColumn id="8" xr3:uid="{00000000-0010-0000-3600-000008000000}" name="2020-2022" dataDxfId="2286"/>
  </tableColumns>
  <tableStyleInfo name="TableStyleLight1" showFirstColumn="1" showLastColumn="0" showRowStripes="0"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0" xr:uid="{00000000-000C-0000-FFFF-FFFF37000000}" name="table23a" displayName="table23a" ref="A7:F13" totalsRowShown="0" headerRowDxfId="2277" dataDxfId="2276">
  <tableColumns count="6">
    <tableColumn id="1" xr3:uid="{00000000-0010-0000-3700-000001000000}" name="Group" dataDxfId="2283"/>
    <tableColumn id="2" xr3:uid="{00000000-0010-0000-3700-000002000000}" name="2014-2016" dataDxfId="2282"/>
    <tableColumn id="3" xr3:uid="{00000000-0010-0000-3700-000003000000}" name="2016-2018" dataDxfId="2281"/>
    <tableColumn id="4" xr3:uid="{00000000-0010-0000-3700-000004000000}" name="2018-2020" dataDxfId="2280"/>
    <tableColumn id="5" xr3:uid="{00000000-0010-0000-3700-000005000000}" name=" " dataDxfId="2279"/>
    <tableColumn id="6" xr3:uid="{00000000-0010-0000-3700-000006000000}" name="2020-2022" dataDxfId="2278"/>
  </tableColumns>
  <tableStyleInfo name="TableStyleLight1" showFirstColumn="1"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1" xr:uid="{00000000-000C-0000-FFFF-FFFF38000000}" name="table23b" displayName="table23b" ref="A15:F21" totalsRowShown="0" headerRowDxfId="2269" dataDxfId="2268">
  <tableColumns count="6">
    <tableColumn id="1" xr3:uid="{00000000-0010-0000-3800-000001000000}" name="Group" dataDxfId="2275"/>
    <tableColumn id="2" xr3:uid="{00000000-0010-0000-3800-000002000000}" name="2014-2016" dataDxfId="2274"/>
    <tableColumn id="3" xr3:uid="{00000000-0010-0000-3800-000003000000}" name="2016-2018" dataDxfId="2273"/>
    <tableColumn id="4" xr3:uid="{00000000-0010-0000-3800-000004000000}" name="2018-2020" dataDxfId="2272"/>
    <tableColumn id="5" xr3:uid="{00000000-0010-0000-3800-000005000000}" name=" " dataDxfId="2271"/>
    <tableColumn id="6" xr3:uid="{00000000-0010-0000-3800-000006000000}" name="2020-2022" dataDxfId="2270"/>
  </tableColumns>
  <tableStyleInfo name="TableStyleLight1" showFirstColumn="1"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2" xr:uid="{00000000-000C-0000-FFFF-FFFF39000000}" name="table23c" displayName="table23c" ref="A23:F29" totalsRowShown="0" headerRowDxfId="2261" dataDxfId="2260">
  <tableColumns count="6">
    <tableColumn id="1" xr3:uid="{00000000-0010-0000-3900-000001000000}" name="Group" dataDxfId="2267"/>
    <tableColumn id="2" xr3:uid="{00000000-0010-0000-3900-000002000000}" name="2014-2016" dataDxfId="2266"/>
    <tableColumn id="3" xr3:uid="{00000000-0010-0000-3900-000003000000}" name="2016-2018" dataDxfId="2265"/>
    <tableColumn id="4" xr3:uid="{00000000-0010-0000-3900-000004000000}" name="2018-2020" dataDxfId="2264"/>
    <tableColumn id="5" xr3:uid="{00000000-0010-0000-3900-000005000000}" name=" " dataDxfId="2263"/>
    <tableColumn id="6" xr3:uid="{00000000-0010-0000-3900-000006000000}" name="2020-2022" dataDxfId="2262"/>
  </tableColumns>
  <tableStyleInfo name="TableStyleLight1" showFirstColumn="1"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3" xr:uid="{00000000-000C-0000-FFFF-FFFF3A000000}" name="table24a" displayName="table24a" ref="A7:J15" totalsRowShown="0" headerRowDxfId="2249" dataDxfId="2248">
  <tableColumns count="10">
    <tableColumn id="1" xr3:uid="{00000000-0010-0000-3A00-000001000000}" name="Group" dataDxfId="2259"/>
    <tableColumn id="2" xr3:uid="{00000000-0010-0000-3A00-000002000000}" name="2006-2008" dataDxfId="2258"/>
    <tableColumn id="3" xr3:uid="{00000000-0010-0000-3A00-000003000000}" name="2008-2010" dataDxfId="2257"/>
    <tableColumn id="4" xr3:uid="{00000000-0010-0000-3A00-000004000000}" name="2010-2012" dataDxfId="2256"/>
    <tableColumn id="5" xr3:uid="{00000000-0010-0000-3A00-000005000000}" name="2012-2014" dataDxfId="2255"/>
    <tableColumn id="6" xr3:uid="{00000000-0010-0000-3A00-000006000000}" name="2014-2016" dataDxfId="2254"/>
    <tableColumn id="7" xr3:uid="{00000000-0010-0000-3A00-000007000000}" name="2016-2018" dataDxfId="2253"/>
    <tableColumn id="8" xr3:uid="{00000000-0010-0000-3A00-000008000000}" name="2018-2020" dataDxfId="2252"/>
    <tableColumn id="9" xr3:uid="{00000000-0010-0000-3A00-000009000000}" name=" " dataDxfId="2251"/>
    <tableColumn id="10" xr3:uid="{00000000-0010-0000-3A00-00000A000000}" name="2020-2022" dataDxfId="2250"/>
  </tableColumns>
  <tableStyleInfo name="TableStyleLight1" showFirstColumn="1"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4" xr:uid="{00000000-000C-0000-FFFF-FFFF3B000000}" name="table24b" displayName="table24b" ref="A17:J25" totalsRowShown="0" headerRowDxfId="2237" dataDxfId="2236">
  <tableColumns count="10">
    <tableColumn id="1" xr3:uid="{00000000-0010-0000-3B00-000001000000}" name="Group" dataDxfId="2247"/>
    <tableColumn id="2" xr3:uid="{00000000-0010-0000-3B00-000002000000}" name="2006-2008" dataDxfId="2246"/>
    <tableColumn id="3" xr3:uid="{00000000-0010-0000-3B00-000003000000}" name="2008-2010" dataDxfId="2245"/>
    <tableColumn id="4" xr3:uid="{00000000-0010-0000-3B00-000004000000}" name="2010-2012" dataDxfId="2244"/>
    <tableColumn id="5" xr3:uid="{00000000-0010-0000-3B00-000005000000}" name="2012-2014" dataDxfId="2243"/>
    <tableColumn id="6" xr3:uid="{00000000-0010-0000-3B00-000006000000}" name="2014-2016" dataDxfId="2242"/>
    <tableColumn id="7" xr3:uid="{00000000-0010-0000-3B00-000007000000}" name="2016-2018" dataDxfId="2241"/>
    <tableColumn id="8" xr3:uid="{00000000-0010-0000-3B00-000008000000}" name="2018-2020" dataDxfId="2240"/>
    <tableColumn id="9" xr3:uid="{00000000-0010-0000-3B00-000009000000}" name=" " dataDxfId="2239"/>
    <tableColumn id="10" xr3:uid="{00000000-0010-0000-3B00-00000A000000}" name="2020-2022" dataDxfId="2238"/>
  </tableColumns>
  <tableStyleInfo name="TableStyleLight1" showFirstColumn="1"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5" xr:uid="{00000000-000C-0000-FFFF-FFFF3C000000}" name="table24c" displayName="table24c" ref="A27:J35" totalsRowShown="0" headerRowDxfId="2225" dataDxfId="2224">
  <tableColumns count="10">
    <tableColumn id="1" xr3:uid="{00000000-0010-0000-3C00-000001000000}" name="Group" dataDxfId="2235"/>
    <tableColumn id="2" xr3:uid="{00000000-0010-0000-3C00-000002000000}" name="2006-2008" dataDxfId="2234"/>
    <tableColumn id="3" xr3:uid="{00000000-0010-0000-3C00-000003000000}" name="2008-2010" dataDxfId="2233"/>
    <tableColumn id="4" xr3:uid="{00000000-0010-0000-3C00-000004000000}" name="2010-2012" dataDxfId="2232"/>
    <tableColumn id="5" xr3:uid="{00000000-0010-0000-3C00-000005000000}" name="2012-2014" dataDxfId="2231"/>
    <tableColumn id="6" xr3:uid="{00000000-0010-0000-3C00-000006000000}" name="2014-2016" dataDxfId="2230"/>
    <tableColumn id="7" xr3:uid="{00000000-0010-0000-3C00-000007000000}" name="2016-2018" dataDxfId="2229"/>
    <tableColumn id="8" xr3:uid="{00000000-0010-0000-3C00-000008000000}" name="2018-2020" dataDxfId="2228"/>
    <tableColumn id="9" xr3:uid="{00000000-0010-0000-3C00-000009000000}" name=" " dataDxfId="2227"/>
    <tableColumn id="10" xr3:uid="{00000000-0010-0000-3C00-00000A000000}" name="2020-2022" dataDxfId="2226"/>
  </tableColumns>
  <tableStyleInfo name="TableStyleLight1" showFirstColumn="1"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6" xr:uid="{00000000-000C-0000-FFFF-FFFF3D000000}" name="table25a" displayName="table25a" ref="A6:J11" totalsRowShown="0" headerRowDxfId="2213" dataDxfId="2212">
  <tableColumns count="10">
    <tableColumn id="1" xr3:uid="{00000000-0010-0000-3D00-000001000000}" name="Group" dataDxfId="2223"/>
    <tableColumn id="2" xr3:uid="{00000000-0010-0000-3D00-000002000000}" name="2006-2008" dataDxfId="2222"/>
    <tableColumn id="3" xr3:uid="{00000000-0010-0000-3D00-000003000000}" name="2008-2010" dataDxfId="2221"/>
    <tableColumn id="4" xr3:uid="{00000000-0010-0000-3D00-000004000000}" name="2010-2012" dataDxfId="2220"/>
    <tableColumn id="5" xr3:uid="{00000000-0010-0000-3D00-000005000000}" name="2012-2014" dataDxfId="2219"/>
    <tableColumn id="6" xr3:uid="{00000000-0010-0000-3D00-000006000000}" name="2014-2016" dataDxfId="2218"/>
    <tableColumn id="7" xr3:uid="{00000000-0010-0000-3D00-000007000000}" name="2016-2018" dataDxfId="2217"/>
    <tableColumn id="8" xr3:uid="{00000000-0010-0000-3D00-000008000000}" name="2018-2020" dataDxfId="2216"/>
    <tableColumn id="9" xr3:uid="{00000000-0010-0000-3D00-000009000000}" name=" " dataDxfId="2215"/>
    <tableColumn id="10" xr3:uid="{00000000-0010-0000-3D00-00000A000000}" name="2020-2022" dataDxfId="2214"/>
  </tableColumns>
  <tableStyleInfo name="TableStyleLight1" showFirstColumn="1"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7" xr:uid="{00000000-000C-0000-FFFF-FFFF3E000000}" name="table25b" displayName="table25b" ref="A13:J18" totalsRowShown="0" headerRowDxfId="2201" dataDxfId="2200">
  <tableColumns count="10">
    <tableColumn id="1" xr3:uid="{00000000-0010-0000-3E00-000001000000}" name="Group" dataDxfId="2211"/>
    <tableColumn id="2" xr3:uid="{00000000-0010-0000-3E00-000002000000}" name="2006-2008" dataDxfId="2210"/>
    <tableColumn id="3" xr3:uid="{00000000-0010-0000-3E00-000003000000}" name="2008-2010" dataDxfId="2209"/>
    <tableColumn id="4" xr3:uid="{00000000-0010-0000-3E00-000004000000}" name="2010-2012" dataDxfId="2208"/>
    <tableColumn id="5" xr3:uid="{00000000-0010-0000-3E00-000005000000}" name="2012-2014" dataDxfId="2207"/>
    <tableColumn id="6" xr3:uid="{00000000-0010-0000-3E00-000006000000}" name="2014-2016" dataDxfId="2206"/>
    <tableColumn id="7" xr3:uid="{00000000-0010-0000-3E00-000007000000}" name="2016-2018" dataDxfId="2205"/>
    <tableColumn id="8" xr3:uid="{00000000-0010-0000-3E00-000008000000}" name="2018-2020" dataDxfId="2204"/>
    <tableColumn id="9" xr3:uid="{00000000-0010-0000-3E00-000009000000}" name=" " dataDxfId="2203"/>
    <tableColumn id="10" xr3:uid="{00000000-0010-0000-3E00-00000A000000}" name="2020-2022" dataDxfId="2202"/>
  </tableColumns>
  <tableStyleInfo name="TableStyleLight1" showFirstColumn="1"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8" xr:uid="{00000000-000C-0000-FFFF-FFFF3F000000}" name="table25c" displayName="table25c" ref="A20:J25" totalsRowShown="0" headerRowDxfId="2189" dataDxfId="2188">
  <tableColumns count="10">
    <tableColumn id="1" xr3:uid="{00000000-0010-0000-3F00-000001000000}" name="Group" dataDxfId="2199"/>
    <tableColumn id="2" xr3:uid="{00000000-0010-0000-3F00-000002000000}" name="2006-2008" dataDxfId="2198"/>
    <tableColumn id="3" xr3:uid="{00000000-0010-0000-3F00-000003000000}" name="2008-2010" dataDxfId="2197"/>
    <tableColumn id="4" xr3:uid="{00000000-0010-0000-3F00-000004000000}" name="2010-2012" dataDxfId="2196"/>
    <tableColumn id="5" xr3:uid="{00000000-0010-0000-3F00-000005000000}" name="2012-2014" dataDxfId="2195"/>
    <tableColumn id="6" xr3:uid="{00000000-0010-0000-3F00-000006000000}" name="2014-2016" dataDxfId="2194"/>
    <tableColumn id="7" xr3:uid="{00000000-0010-0000-3F00-000007000000}" name="2016-2018" dataDxfId="2193"/>
    <tableColumn id="8" xr3:uid="{00000000-0010-0000-3F00-000008000000}" name="2018-2020" dataDxfId="2192"/>
    <tableColumn id="9" xr3:uid="{00000000-0010-0000-3F00-000009000000}" name=" " dataDxfId="2191"/>
    <tableColumn id="10" xr3:uid="{00000000-0010-0000-3F00-00000A000000}" name="2020-2022" dataDxfId="2190"/>
  </tableColumns>
  <tableStyleInfo name="TableStyleLight1" showFirstColumn="1" showLastColumn="0" showRowStripes="0"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9" xr:uid="{00000000-000C-0000-FFFF-FFFF40000000}" name="table26a" displayName="table26a" ref="A7:J10" totalsRowShown="0" headerRowDxfId="2177" dataDxfId="2176">
  <tableColumns count="10">
    <tableColumn id="1" xr3:uid="{00000000-0010-0000-4000-000001000000}" name="Group" dataDxfId="2187"/>
    <tableColumn id="2" xr3:uid="{00000000-0010-0000-4000-000002000000}" name="2006-2008" dataDxfId="2186"/>
    <tableColumn id="3" xr3:uid="{00000000-0010-0000-4000-000003000000}" name="2008-2010" dataDxfId="2185"/>
    <tableColumn id="4" xr3:uid="{00000000-0010-0000-4000-000004000000}" name="2010-2012" dataDxfId="2184"/>
    <tableColumn id="5" xr3:uid="{00000000-0010-0000-4000-000005000000}" name="2012-2014" dataDxfId="2183"/>
    <tableColumn id="6" xr3:uid="{00000000-0010-0000-4000-000006000000}" name="2014-2016" dataDxfId="2182"/>
    <tableColumn id="7" xr3:uid="{00000000-0010-0000-4000-000007000000}" name="2016-2018" dataDxfId="2181"/>
    <tableColumn id="8" xr3:uid="{00000000-0010-0000-4000-000008000000}" name="2018-2020" dataDxfId="2180"/>
    <tableColumn id="9" xr3:uid="{00000000-0010-0000-4000-000009000000}" name=" " dataDxfId="2179"/>
    <tableColumn id="10" xr3:uid="{00000000-0010-0000-4000-00000A000000}" name="2020-2022" dataDxfId="2178"/>
  </tableColumns>
  <tableStyleInfo name="TableStyleLight1" showFirstColumn="1" showLastColumn="0" showRowStripes="0"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0" xr:uid="{00000000-000C-0000-FFFF-FFFF41000000}" name="table26b" displayName="table26b" ref="A12:J15" totalsRowShown="0" headerRowDxfId="2165" dataDxfId="2164">
  <tableColumns count="10">
    <tableColumn id="1" xr3:uid="{00000000-0010-0000-4100-000001000000}" name="Group" dataDxfId="2175"/>
    <tableColumn id="2" xr3:uid="{00000000-0010-0000-4100-000002000000}" name="2006-2008" dataDxfId="2174"/>
    <tableColumn id="3" xr3:uid="{00000000-0010-0000-4100-000003000000}" name="2008-2010" dataDxfId="2173"/>
    <tableColumn id="4" xr3:uid="{00000000-0010-0000-4100-000004000000}" name="2010-2012" dataDxfId="2172"/>
    <tableColumn id="5" xr3:uid="{00000000-0010-0000-4100-000005000000}" name="2012-2014" dataDxfId="2171"/>
    <tableColumn id="6" xr3:uid="{00000000-0010-0000-4100-000006000000}" name="2014-2016" dataDxfId="2170"/>
    <tableColumn id="7" xr3:uid="{00000000-0010-0000-4100-000007000000}" name="2016-2018" dataDxfId="2169"/>
    <tableColumn id="8" xr3:uid="{00000000-0010-0000-4100-000008000000}" name="2018-2020" dataDxfId="2168"/>
    <tableColumn id="9" xr3:uid="{00000000-0010-0000-4100-000009000000}" name=" " dataDxfId="2167"/>
    <tableColumn id="10" xr3:uid="{00000000-0010-0000-4100-00000A000000}" name="2020-2022" dataDxfId="2166"/>
  </tableColumns>
  <tableStyleInfo name="TableStyleLight1" showFirstColumn="1" showLastColumn="0" showRowStripes="0"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1" xr:uid="{00000000-000C-0000-FFFF-FFFF42000000}" name="table26c" displayName="table26c" ref="A17:J20" totalsRowShown="0" headerRowDxfId="2153" dataDxfId="2152">
  <tableColumns count="10">
    <tableColumn id="1" xr3:uid="{00000000-0010-0000-4200-000001000000}" name="Group" dataDxfId="2163"/>
    <tableColumn id="2" xr3:uid="{00000000-0010-0000-4200-000002000000}" name="2006-2008" dataDxfId="2162"/>
    <tableColumn id="3" xr3:uid="{00000000-0010-0000-4200-000003000000}" name="2008-2010" dataDxfId="2161"/>
    <tableColumn id="4" xr3:uid="{00000000-0010-0000-4200-000004000000}" name="2010-2012" dataDxfId="2160"/>
    <tableColumn id="5" xr3:uid="{00000000-0010-0000-4200-000005000000}" name="2012-2014" dataDxfId="2159"/>
    <tableColumn id="6" xr3:uid="{00000000-0010-0000-4200-000006000000}" name="2014-2016" dataDxfId="2158"/>
    <tableColumn id="7" xr3:uid="{00000000-0010-0000-4200-000007000000}" name="2016-2018" dataDxfId="2157"/>
    <tableColumn id="8" xr3:uid="{00000000-0010-0000-4200-000008000000}" name="2018-2020" dataDxfId="2156"/>
    <tableColumn id="9" xr3:uid="{00000000-0010-0000-4200-000009000000}" name=" " dataDxfId="2155"/>
    <tableColumn id="10" xr3:uid="{00000000-0010-0000-4200-00000A000000}" name="2020-2022" dataDxfId="2154"/>
  </tableColumns>
  <tableStyleInfo name="TableStyleLight1" showFirstColumn="1" showLastColumn="0" showRowStripes="0"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2" xr:uid="{00000000-000C-0000-FFFF-FFFF43000000}" name="table27a" displayName="table27a" ref="A6:K7" totalsRowShown="0" headerRowDxfId="2140" dataDxfId="2139">
  <tableColumns count="11">
    <tableColumn id="1" xr3:uid="{00000000-0010-0000-4300-000001000000}" name="Period" dataDxfId="2151"/>
    <tableColumn id="2" xr3:uid="{00000000-0010-0000-4300-000002000000}" name="1" dataDxfId="2150"/>
    <tableColumn id="3" xr3:uid="{00000000-0010-0000-4300-000003000000}" name="2" dataDxfId="2149"/>
    <tableColumn id="4" xr3:uid="{00000000-0010-0000-4300-000004000000}" name="3" dataDxfId="2148"/>
    <tableColumn id="5" xr3:uid="{00000000-0010-0000-4300-000005000000}" name="4" dataDxfId="2147"/>
    <tableColumn id="6" xr3:uid="{00000000-0010-0000-4300-000006000000}" name="5" dataDxfId="2146"/>
    <tableColumn id="7" xr3:uid="{00000000-0010-0000-4300-000007000000}" name="6" dataDxfId="2145"/>
    <tableColumn id="8" xr3:uid="{00000000-0010-0000-4300-000008000000}" name="7" dataDxfId="2144"/>
    <tableColumn id="9" xr3:uid="{00000000-0010-0000-4300-000009000000}" name="8" dataDxfId="2143"/>
    <tableColumn id="10" xr3:uid="{00000000-0010-0000-4300-00000A000000}" name="9" dataDxfId="2142"/>
    <tableColumn id="11" xr3:uid="{00000000-0010-0000-4300-00000B000000}" name="10" dataDxfId="2141"/>
  </tableColumns>
  <tableStyleInfo name="TableStyleLight1" showFirstColumn="1" showLastColumn="0" showRowStripes="0"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3" xr:uid="{00000000-000C-0000-FFFF-FFFF44000000}" name="table27b" displayName="table27b" ref="A9:K10" totalsRowShown="0" headerRowDxfId="2127" dataDxfId="2126">
  <tableColumns count="11">
    <tableColumn id="1" xr3:uid="{00000000-0010-0000-4400-000001000000}" name="Period" dataDxfId="2138"/>
    <tableColumn id="2" xr3:uid="{00000000-0010-0000-4400-000002000000}" name="1" dataDxfId="2137"/>
    <tableColumn id="3" xr3:uid="{00000000-0010-0000-4400-000003000000}" name="2" dataDxfId="2136"/>
    <tableColumn id="4" xr3:uid="{00000000-0010-0000-4400-000004000000}" name="3" dataDxfId="2135"/>
    <tableColumn id="5" xr3:uid="{00000000-0010-0000-4400-000005000000}" name="4" dataDxfId="2134"/>
    <tableColumn id="6" xr3:uid="{00000000-0010-0000-4400-000006000000}" name="5" dataDxfId="2133"/>
    <tableColumn id="7" xr3:uid="{00000000-0010-0000-4400-000007000000}" name="6" dataDxfId="2132"/>
    <tableColumn id="8" xr3:uid="{00000000-0010-0000-4400-000008000000}" name="7" dataDxfId="2131"/>
    <tableColumn id="9" xr3:uid="{00000000-0010-0000-4400-000009000000}" name="8" dataDxfId="2130"/>
    <tableColumn id="10" xr3:uid="{00000000-0010-0000-4400-00000A000000}" name="9" dataDxfId="2129"/>
    <tableColumn id="11" xr3:uid="{00000000-0010-0000-4400-00000B000000}" name="10" dataDxfId="2128"/>
  </tableColumns>
  <tableStyleInfo name="TableStyleLight1" showFirstColumn="1" showLastColumn="0" showRowStripes="0"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4" xr:uid="{00000000-000C-0000-FFFF-FFFF45000000}" name="table27c" displayName="table27c" ref="A12:K13" totalsRowShown="0" headerRowDxfId="2114" dataDxfId="2113">
  <tableColumns count="11">
    <tableColumn id="1" xr3:uid="{00000000-0010-0000-4500-000001000000}" name="Period" dataDxfId="2125"/>
    <tableColumn id="2" xr3:uid="{00000000-0010-0000-4500-000002000000}" name="1" dataDxfId="2124"/>
    <tableColumn id="3" xr3:uid="{00000000-0010-0000-4500-000003000000}" name="2" dataDxfId="2123"/>
    <tableColumn id="4" xr3:uid="{00000000-0010-0000-4500-000004000000}" name="3" dataDxfId="2122"/>
    <tableColumn id="5" xr3:uid="{00000000-0010-0000-4500-000005000000}" name="4" dataDxfId="2121"/>
    <tableColumn id="6" xr3:uid="{00000000-0010-0000-4500-000006000000}" name="5" dataDxfId="2120"/>
    <tableColumn id="7" xr3:uid="{00000000-0010-0000-4500-000007000000}" name="6" dataDxfId="2119"/>
    <tableColumn id="8" xr3:uid="{00000000-0010-0000-4500-000008000000}" name="7" dataDxfId="2118"/>
    <tableColumn id="9" xr3:uid="{00000000-0010-0000-4500-000009000000}" name="8" dataDxfId="2117"/>
    <tableColumn id="10" xr3:uid="{00000000-0010-0000-4500-00000A000000}" name="9" dataDxfId="2116"/>
    <tableColumn id="11" xr3:uid="{00000000-0010-0000-4500-00000B000000}" name="10" dataDxfId="2115"/>
  </tableColumns>
  <tableStyleInfo name="TableStyleLight1" showFirstColumn="1" showLastColumn="0" showRowStripes="0"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5" xr:uid="{00000000-000C-0000-FFFF-FFFF46000000}" name="table28a" displayName="table28a" ref="A6:I17" totalsRowShown="0" headerRowDxfId="2103" dataDxfId="2102">
  <tableColumns count="9">
    <tableColumn id="1" xr3:uid="{00000000-0010-0000-4600-000001000000}" name="Decile" dataDxfId="2112"/>
    <tableColumn id="2" xr3:uid="{00000000-0010-0000-4600-000002000000}" name="2006-2008" dataDxfId="2111"/>
    <tableColumn id="3" xr3:uid="{00000000-0010-0000-4600-000003000000}" name="2008-2010" dataDxfId="2110"/>
    <tableColumn id="4" xr3:uid="{00000000-0010-0000-4600-000004000000}" name="2010-2012" dataDxfId="2109"/>
    <tableColumn id="5" xr3:uid="{00000000-0010-0000-4600-000005000000}" name="2012-2014" dataDxfId="2108"/>
    <tableColumn id="6" xr3:uid="{00000000-0010-0000-4600-000006000000}" name="2014-2016" dataDxfId="2107"/>
    <tableColumn id="7" xr3:uid="{00000000-0010-0000-4600-000007000000}" name="2016-2018" dataDxfId="2106"/>
    <tableColumn id="8" xr3:uid="{00000000-0010-0000-4600-000008000000}" name="2018-2020" dataDxfId="2105"/>
    <tableColumn id="9" xr3:uid="{00000000-0010-0000-4600-000009000000}" name="2020-2022" dataDxfId="2104"/>
  </tableColumns>
  <tableStyleInfo name="TableStyleLight1" showFirstColumn="1" showLastColumn="0" showRowStripes="0"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6" xr:uid="{00000000-000C-0000-FFFF-FFFF47000000}" name="table28b" displayName="table28b" ref="A19:I30" totalsRowShown="0" headerRowDxfId="2092" dataDxfId="2091">
  <tableColumns count="9">
    <tableColumn id="1" xr3:uid="{00000000-0010-0000-4700-000001000000}" name="Decile" dataDxfId="2101"/>
    <tableColumn id="2" xr3:uid="{00000000-0010-0000-4700-000002000000}" name="2006-2008" dataDxfId="2100"/>
    <tableColumn id="3" xr3:uid="{00000000-0010-0000-4700-000003000000}" name="2008-2010" dataDxfId="2099"/>
    <tableColumn id="4" xr3:uid="{00000000-0010-0000-4700-000004000000}" name="2010-2012" dataDxfId="2098"/>
    <tableColumn id="5" xr3:uid="{00000000-0010-0000-4700-000005000000}" name="2012-2014" dataDxfId="2097"/>
    <tableColumn id="6" xr3:uid="{00000000-0010-0000-4700-000006000000}" name="2014-2016" dataDxfId="2096"/>
    <tableColumn id="7" xr3:uid="{00000000-0010-0000-4700-000007000000}" name="2016-2018" dataDxfId="2095"/>
    <tableColumn id="8" xr3:uid="{00000000-0010-0000-4700-000008000000}" name="2018-2020" dataDxfId="2094"/>
    <tableColumn id="9" xr3:uid="{00000000-0010-0000-4700-000009000000}" name="2020-2022" dataDxfId="2093"/>
  </tableColumns>
  <tableStyleInfo name="TableStyleLight1" showFirstColumn="1" showLastColumn="0" showRowStripes="0"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7" xr:uid="{00000000-000C-0000-FFFF-FFFF48000000}" name="table28c" displayName="table28c" ref="A32:I43" totalsRowShown="0" headerRowDxfId="2081" dataDxfId="2080">
  <tableColumns count="9">
    <tableColumn id="1" xr3:uid="{00000000-0010-0000-4800-000001000000}" name="Decile" dataDxfId="2090"/>
    <tableColumn id="2" xr3:uid="{00000000-0010-0000-4800-000002000000}" name="2006-2008" dataDxfId="2089"/>
    <tableColumn id="3" xr3:uid="{00000000-0010-0000-4800-000003000000}" name="2008-2010" dataDxfId="2088"/>
    <tableColumn id="4" xr3:uid="{00000000-0010-0000-4800-000004000000}" name="2010-2012" dataDxfId="2087"/>
    <tableColumn id="5" xr3:uid="{00000000-0010-0000-4800-000005000000}" name="2012-2014" dataDxfId="2086"/>
    <tableColumn id="6" xr3:uid="{00000000-0010-0000-4800-000006000000}" name="2014-2016" dataDxfId="2085"/>
    <tableColumn id="7" xr3:uid="{00000000-0010-0000-4800-000007000000}" name="2016-2018" dataDxfId="2084"/>
    <tableColumn id="8" xr3:uid="{00000000-0010-0000-4800-000008000000}" name="2018-2020" dataDxfId="2083"/>
    <tableColumn id="9" xr3:uid="{00000000-0010-0000-4800-000009000000}" name="2020-2022" dataDxfId="2082"/>
  </tableColumns>
  <tableStyleInfo name="TableStyleLight1" showFirstColumn="1" showLastColumn="0" showRowStripes="0"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8" xr:uid="{00000000-000C-0000-FFFF-FFFF49000000}" name="table29a" displayName="table29a" ref="A7:I13" totalsRowShown="0" headerRowDxfId="2070" dataDxfId="2069">
  <tableColumns count="9">
    <tableColumn id="1" xr3:uid="{00000000-0010-0000-4900-000001000000}" name="Period of time" dataDxfId="2079"/>
    <tableColumn id="2" xr3:uid="{00000000-0010-0000-4900-000002000000}" name="2006-2008" dataDxfId="2078"/>
    <tableColumn id="3" xr3:uid="{00000000-0010-0000-4900-000003000000}" name="2008-2010" dataDxfId="2077"/>
    <tableColumn id="4" xr3:uid="{00000000-0010-0000-4900-000004000000}" name="2010-2012" dataDxfId="2076"/>
    <tableColumn id="5" xr3:uid="{00000000-0010-0000-4900-000005000000}" name="2012-2014" dataDxfId="2075"/>
    <tableColumn id="6" xr3:uid="{00000000-0010-0000-4900-000006000000}" name="2014-2016" dataDxfId="2074"/>
    <tableColumn id="7" xr3:uid="{00000000-0010-0000-4900-000007000000}" name="2016-2018" dataDxfId="2073"/>
    <tableColumn id="8" xr3:uid="{00000000-0010-0000-4900-000008000000}" name="2018-2020" dataDxfId="2072"/>
    <tableColumn id="9" xr3:uid="{00000000-0010-0000-4900-000009000000}" name="2020-2022" dataDxfId="2071"/>
  </tableColumns>
  <tableStyleInfo name="TableStyleLight1" showFirstColumn="1" showLastColumn="0" showRowStripes="0"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9" xr:uid="{00000000-000C-0000-FFFF-FFFF4A000000}" name="table29b" displayName="table29b" ref="A15:I16" totalsRowShown="0" headerRowDxfId="2059" dataDxfId="2058">
  <tableColumns count="9">
    <tableColumn id="1" xr3:uid="{00000000-0010-0000-4A00-000001000000}" name="Group" dataDxfId="2068"/>
    <tableColumn id="2" xr3:uid="{00000000-0010-0000-4A00-000002000000}" name="2006-2008" dataDxfId="2067"/>
    <tableColumn id="3" xr3:uid="{00000000-0010-0000-4A00-000003000000}" name="2008-2010" dataDxfId="2066"/>
    <tableColumn id="4" xr3:uid="{00000000-0010-0000-4A00-000004000000}" name="2010-2012" dataDxfId="2065"/>
    <tableColumn id="5" xr3:uid="{00000000-0010-0000-4A00-000005000000}" name="2012-2014" dataDxfId="2064"/>
    <tableColumn id="6" xr3:uid="{00000000-0010-0000-4A00-000006000000}" name="2014-2016" dataDxfId="2063"/>
    <tableColumn id="7" xr3:uid="{00000000-0010-0000-4A00-000007000000}" name="2016-2018" dataDxfId="2062"/>
    <tableColumn id="8" xr3:uid="{00000000-0010-0000-4A00-000008000000}" name="2018-2020" dataDxfId="2061"/>
    <tableColumn id="9" xr3:uid="{00000000-0010-0000-4A00-000009000000}" name="2020-2022" dataDxfId="2060"/>
  </tableColumns>
  <tableStyleInfo name="TableStyleLight1" showFirstColumn="1" showLastColumn="0" showRowStripes="0"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0" xr:uid="{00000000-000C-0000-FFFF-FFFF4B000000}" name="table29c" displayName="table29c" ref="A18:E24" totalsRowShown="0" headerRowDxfId="2052" dataDxfId="2051">
  <tableColumns count="5">
    <tableColumn id="1" xr3:uid="{00000000-0010-0000-4B00-000001000000}" name="Period of time" dataDxfId="2057"/>
    <tableColumn id="2" xr3:uid="{00000000-0010-0000-4B00-000002000000}" name="2012-2014" dataDxfId="2056"/>
    <tableColumn id="3" xr3:uid="{00000000-0010-0000-4B00-000003000000}" name="2014-2016" dataDxfId="2055"/>
    <tableColumn id="4" xr3:uid="{00000000-0010-0000-4B00-000004000000}" name="2016-2018" dataDxfId="2054"/>
    <tableColumn id="5" xr3:uid="{00000000-0010-0000-4B00-000005000000}" name="2018-2020" dataDxfId="2053"/>
  </tableColumns>
  <tableStyleInfo name="TableStyleLight1" showFirstColumn="1" showLastColumn="0" showRowStripes="0"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1" xr:uid="{00000000-000C-0000-FFFF-FFFF4C000000}" name="table29d" displayName="table29d" ref="A26:E27" totalsRowShown="0" headerRowDxfId="2045" dataDxfId="2044">
  <tableColumns count="5">
    <tableColumn id="1" xr3:uid="{00000000-0010-0000-4C00-000001000000}" name="Period" dataDxfId="2050"/>
    <tableColumn id="2" xr3:uid="{00000000-0010-0000-4C00-000002000000}" name="2012-2014" dataDxfId="2049"/>
    <tableColumn id="3" xr3:uid="{00000000-0010-0000-4C00-000003000000}" name="2014-2016" dataDxfId="2048"/>
    <tableColumn id="4" xr3:uid="{00000000-0010-0000-4C00-000004000000}" name="2016-2018" dataDxfId="2047"/>
    <tableColumn id="5" xr3:uid="{00000000-0010-0000-4C00-000005000000}" name="2018-2020" dataDxfId="2046"/>
  </tableColumns>
  <tableStyleInfo name="TableStyleLight1" showFirstColumn="1" showLastColumn="0" showRowStripes="0"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2" xr:uid="{00000000-000C-0000-FFFF-FFFF4D000000}" name="table30a" displayName="table30a" ref="A8:I16" totalsRowShown="0" headerRowDxfId="2034" dataDxfId="2033">
  <tableColumns count="9">
    <tableColumn id="1" xr3:uid="{00000000-0010-0000-4D00-000001000000}" name="Group" dataDxfId="2043"/>
    <tableColumn id="2" xr3:uid="{00000000-0010-0000-4D00-000002000000}" name="2006-2008" dataDxfId="2042"/>
    <tableColumn id="3" xr3:uid="{00000000-0010-0000-4D00-000003000000}" name="2008-2010" dataDxfId="2041"/>
    <tableColumn id="4" xr3:uid="{00000000-0010-0000-4D00-000004000000}" name="2010-2012" dataDxfId="2040"/>
    <tableColumn id="5" xr3:uid="{00000000-0010-0000-4D00-000005000000}" name="2012-2014" dataDxfId="2039"/>
    <tableColumn id="6" xr3:uid="{00000000-0010-0000-4D00-000006000000}" name="2014-2016" dataDxfId="2038"/>
    <tableColumn id="7" xr3:uid="{00000000-0010-0000-4D00-000007000000}" name="2016-2018" dataDxfId="2037"/>
    <tableColumn id="8" xr3:uid="{00000000-0010-0000-4D00-000008000000}" name="2018-2020" dataDxfId="2036"/>
    <tableColumn id="9" xr3:uid="{00000000-0010-0000-4D00-000009000000}" name="2020-2022" dataDxfId="2035"/>
  </tableColumns>
  <tableStyleInfo name="TableStyleLight1" showFirstColumn="1" showLastColumn="0" showRowStripes="0"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3" xr:uid="{00000000-000C-0000-FFFF-FFFF4E000000}" name="table30b" displayName="table30b" ref="A18:I26" totalsRowShown="0" headerRowDxfId="2023" dataDxfId="2022">
  <tableColumns count="9">
    <tableColumn id="1" xr3:uid="{00000000-0010-0000-4E00-000001000000}" name="Group" dataDxfId="2032"/>
    <tableColumn id="2" xr3:uid="{00000000-0010-0000-4E00-000002000000}" name="2006-2008" dataDxfId="2031"/>
    <tableColumn id="3" xr3:uid="{00000000-0010-0000-4E00-000003000000}" name="2008-2010" dataDxfId="2030"/>
    <tableColumn id="4" xr3:uid="{00000000-0010-0000-4E00-000004000000}" name="2010-2012" dataDxfId="2029"/>
    <tableColumn id="5" xr3:uid="{00000000-0010-0000-4E00-000005000000}" name="2012-2014" dataDxfId="2028"/>
    <tableColumn id="6" xr3:uid="{00000000-0010-0000-4E00-000006000000}" name="2014-2016" dataDxfId="2027"/>
    <tableColumn id="7" xr3:uid="{00000000-0010-0000-4E00-000007000000}" name="2016-2018" dataDxfId="2026"/>
    <tableColumn id="8" xr3:uid="{00000000-0010-0000-4E00-000008000000}" name="2018-2020" dataDxfId="2025"/>
    <tableColumn id="9" xr3:uid="{00000000-0010-0000-4E00-000009000000}" name="2020-2022" dataDxfId="2024"/>
  </tableColumns>
  <tableStyleInfo name="TableStyleLight1" showFirstColumn="1" showLastColumn="0" showRowStripes="0"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4" xr:uid="{00000000-000C-0000-FFFF-FFFF4F000000}" name="table30c" displayName="table30c" ref="A28:I36" totalsRowShown="0" headerRowDxfId="2012" dataDxfId="2011">
  <tableColumns count="9">
    <tableColumn id="1" xr3:uid="{00000000-0010-0000-4F00-000001000000}" name="Group" dataDxfId="2021"/>
    <tableColumn id="2" xr3:uid="{00000000-0010-0000-4F00-000002000000}" name="2006-2008" dataDxfId="2020"/>
    <tableColumn id="3" xr3:uid="{00000000-0010-0000-4F00-000003000000}" name="2008-2010" dataDxfId="2019"/>
    <tableColumn id="4" xr3:uid="{00000000-0010-0000-4F00-000004000000}" name="2010-2012" dataDxfId="2018"/>
    <tableColumn id="5" xr3:uid="{00000000-0010-0000-4F00-000005000000}" name="2012-2014" dataDxfId="2017"/>
    <tableColumn id="6" xr3:uid="{00000000-0010-0000-4F00-000006000000}" name="2014-2016" dataDxfId="2016"/>
    <tableColumn id="7" xr3:uid="{00000000-0010-0000-4F00-000007000000}" name="2016-2018" dataDxfId="2015"/>
    <tableColumn id="8" xr3:uid="{00000000-0010-0000-4F00-000008000000}" name="2018-2020" dataDxfId="2014"/>
    <tableColumn id="9" xr3:uid="{00000000-0010-0000-4F00-000009000000}" name="2020-2022" dataDxfId="2013"/>
  </tableColumns>
  <tableStyleInfo name="TableStyleLight1" showFirstColumn="1" showLastColumn="0" showRowStripes="0"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5" xr:uid="{00000000-000C-0000-FFFF-FFFF50000000}" name="table30d" displayName="table30d" ref="A38:I46" totalsRowShown="0" headerRowDxfId="2001" dataDxfId="2000">
  <tableColumns count="9">
    <tableColumn id="1" xr3:uid="{00000000-0010-0000-5000-000001000000}" name="Group" dataDxfId="2010"/>
    <tableColumn id="2" xr3:uid="{00000000-0010-0000-5000-000002000000}" name="2006-2008" dataDxfId="2009"/>
    <tableColumn id="3" xr3:uid="{00000000-0010-0000-5000-000003000000}" name="2008-2010" dataDxfId="2008"/>
    <tableColumn id="4" xr3:uid="{00000000-0010-0000-5000-000004000000}" name="2010-2012" dataDxfId="2007"/>
    <tableColumn id="5" xr3:uid="{00000000-0010-0000-5000-000005000000}" name="2012-2014" dataDxfId="2006"/>
    <tableColumn id="6" xr3:uid="{00000000-0010-0000-5000-000006000000}" name="2014-2016" dataDxfId="2005"/>
    <tableColumn id="7" xr3:uid="{00000000-0010-0000-5000-000007000000}" name="2016-2018" dataDxfId="2004"/>
    <tableColumn id="8" xr3:uid="{00000000-0010-0000-5000-000008000000}" name="2018-2020" dataDxfId="2003"/>
    <tableColumn id="9" xr3:uid="{00000000-0010-0000-5000-000009000000}" name="2020-2022" dataDxfId="2002"/>
  </tableColumns>
  <tableStyleInfo name="TableStyleLight1" showFirstColumn="1" showLastColumn="0" showRowStripes="0"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6" xr:uid="{00000000-000C-0000-FFFF-FFFF51000000}" name="table31a" displayName="table31a" ref="A8:F13" totalsRowShown="0" headerRowDxfId="1993" dataDxfId="1992">
  <tableColumns count="6">
    <tableColumn id="1" xr3:uid="{00000000-0010-0000-5100-000001000000}" name="Group" dataDxfId="1999"/>
    <tableColumn id="2" xr3:uid="{00000000-0010-0000-5100-000002000000}" name="2012-2014" dataDxfId="1998"/>
    <tableColumn id="3" xr3:uid="{00000000-0010-0000-5100-000003000000}" name="2014-2016" dataDxfId="1997"/>
    <tableColumn id="4" xr3:uid="{00000000-0010-0000-5100-000004000000}" name="2016-2018" dataDxfId="1996"/>
    <tableColumn id="5" xr3:uid="{00000000-0010-0000-5100-000005000000}" name="2018-2020" dataDxfId="1995"/>
    <tableColumn id="6" xr3:uid="{00000000-0010-0000-5100-000006000000}" name="2020-2022" dataDxfId="1994"/>
  </tableColumns>
  <tableStyleInfo name="TableStyleLight1" showFirstColumn="1" showLastColumn="0" showRowStripes="0"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7" xr:uid="{00000000-000C-0000-FFFF-FFFF52000000}" name="table31b" displayName="table31b" ref="A15:F20" totalsRowShown="0" headerRowDxfId="1985" dataDxfId="1984">
  <tableColumns count="6">
    <tableColumn id="1" xr3:uid="{00000000-0010-0000-5200-000001000000}" name="Group" dataDxfId="1991"/>
    <tableColumn id="2" xr3:uid="{00000000-0010-0000-5200-000002000000}" name="2012-2014" dataDxfId="1990"/>
    <tableColumn id="3" xr3:uid="{00000000-0010-0000-5200-000003000000}" name="2014-2016" dataDxfId="1989"/>
    <tableColumn id="4" xr3:uid="{00000000-0010-0000-5200-000004000000}" name="2016-2018" dataDxfId="1988"/>
    <tableColumn id="5" xr3:uid="{00000000-0010-0000-5200-000005000000}" name="2018-2020" dataDxfId="1987"/>
    <tableColumn id="6" xr3:uid="{00000000-0010-0000-5200-000006000000}" name="2020-2022" dataDxfId="1986"/>
  </tableColumns>
  <tableStyleInfo name="TableStyleLight1" showFirstColumn="1" showLastColumn="0" showRowStripes="0"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8" xr:uid="{00000000-000C-0000-FFFF-FFFF53000000}" name="table31c" displayName="table31c" ref="A22:F27" totalsRowShown="0" headerRowDxfId="1977" dataDxfId="1976">
  <tableColumns count="6">
    <tableColumn id="1" xr3:uid="{00000000-0010-0000-5300-000001000000}" name="Group" dataDxfId="1983"/>
    <tableColumn id="2" xr3:uid="{00000000-0010-0000-5300-000002000000}" name="2012-2014" dataDxfId="1982"/>
    <tableColumn id="3" xr3:uid="{00000000-0010-0000-5300-000003000000}" name="2014-2016" dataDxfId="1981"/>
    <tableColumn id="4" xr3:uid="{00000000-0010-0000-5300-000004000000}" name="2016-2018" dataDxfId="1980"/>
    <tableColumn id="5" xr3:uid="{00000000-0010-0000-5300-000005000000}" name="2018-2020" dataDxfId="1979"/>
    <tableColumn id="6" xr3:uid="{00000000-0010-0000-5300-000006000000}" name="2020-2022" dataDxfId="1978"/>
  </tableColumns>
  <tableStyleInfo name="TableStyleLight1" showFirstColumn="1" showLastColumn="0" showRowStripes="0"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9" xr:uid="{00000000-000C-0000-FFFF-FFFF54000000}" name="table31d" displayName="table31d" ref="A29:F34" totalsRowShown="0" headerRowDxfId="1969" dataDxfId="1968">
  <tableColumns count="6">
    <tableColumn id="1" xr3:uid="{00000000-0010-0000-5400-000001000000}" name="Group" dataDxfId="1975"/>
    <tableColumn id="2" xr3:uid="{00000000-0010-0000-5400-000002000000}" name="2012-2014" dataDxfId="1974"/>
    <tableColumn id="3" xr3:uid="{00000000-0010-0000-5400-000003000000}" name="2014-2016" dataDxfId="1973"/>
    <tableColumn id="4" xr3:uid="{00000000-0010-0000-5400-000004000000}" name="2016-2018" dataDxfId="1972"/>
    <tableColumn id="5" xr3:uid="{00000000-0010-0000-5400-000005000000}" name="2018-2020" dataDxfId="1971"/>
    <tableColumn id="6" xr3:uid="{00000000-0010-0000-5400-000006000000}" name="2020-2022" dataDxfId="1970"/>
  </tableColumns>
  <tableStyleInfo name="TableStyleLight1" showFirstColumn="1" showLastColumn="0" showRowStripes="0"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0" xr:uid="{00000000-000C-0000-FFFF-FFFF55000000}" name="table32a" displayName="table32a" ref="A7:I12" totalsRowShown="0" headerRowDxfId="1958" dataDxfId="1957">
  <tableColumns count="9">
    <tableColumn id="1" xr3:uid="{00000000-0010-0000-5500-000001000000}" name="Group" dataDxfId="1967"/>
    <tableColumn id="2" xr3:uid="{00000000-0010-0000-5500-000002000000}" name="2006-2008" dataDxfId="1966"/>
    <tableColumn id="3" xr3:uid="{00000000-0010-0000-5500-000003000000}" name="2008-2010" dataDxfId="1965"/>
    <tableColumn id="4" xr3:uid="{00000000-0010-0000-5500-000004000000}" name="2010-2012" dataDxfId="1964"/>
    <tableColumn id="5" xr3:uid="{00000000-0010-0000-5500-000005000000}" name="2012-2014" dataDxfId="1963"/>
    <tableColumn id="6" xr3:uid="{00000000-0010-0000-5500-000006000000}" name="2014-2016" dataDxfId="1962"/>
    <tableColumn id="7" xr3:uid="{00000000-0010-0000-5500-000007000000}" name="2016-2018" dataDxfId="1961"/>
    <tableColumn id="8" xr3:uid="{00000000-0010-0000-5500-000008000000}" name="2018-2020" dataDxfId="1960"/>
    <tableColumn id="9" xr3:uid="{00000000-0010-0000-5500-000009000000}" name="2020-2022" dataDxfId="1959"/>
  </tableColumns>
  <tableStyleInfo name="TableStyleLight1" showFirstColumn="1" showLastColumn="0" showRowStripes="0"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1" xr:uid="{00000000-000C-0000-FFFF-FFFF56000000}" name="table32b" displayName="table32b" ref="A14:I19" totalsRowShown="0" headerRowDxfId="1947" dataDxfId="1946">
  <tableColumns count="9">
    <tableColumn id="1" xr3:uid="{00000000-0010-0000-5600-000001000000}" name="Group" dataDxfId="1956"/>
    <tableColumn id="2" xr3:uid="{00000000-0010-0000-5600-000002000000}" name="2006-2008" dataDxfId="1955"/>
    <tableColumn id="3" xr3:uid="{00000000-0010-0000-5600-000003000000}" name="2008-2010" dataDxfId="1954"/>
    <tableColumn id="4" xr3:uid="{00000000-0010-0000-5600-000004000000}" name="2010-2012" dataDxfId="1953"/>
    <tableColumn id="5" xr3:uid="{00000000-0010-0000-5600-000005000000}" name="2012-2014" dataDxfId="1952"/>
    <tableColumn id="6" xr3:uid="{00000000-0010-0000-5600-000006000000}" name="2014-2016" dataDxfId="1951"/>
    <tableColumn id="7" xr3:uid="{00000000-0010-0000-5600-000007000000}" name="2016-2018" dataDxfId="1950"/>
    <tableColumn id="8" xr3:uid="{00000000-0010-0000-5600-000008000000}" name="2018-2020" dataDxfId="1949"/>
    <tableColumn id="9" xr3:uid="{00000000-0010-0000-5600-000009000000}" name="2020-2022" dataDxfId="1948"/>
  </tableColumns>
  <tableStyleInfo name="TableStyleLight1" showFirstColumn="1" showLastColumn="0" showRowStripes="0"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2" xr:uid="{00000000-000C-0000-FFFF-FFFF57000000}" name="table32c" displayName="table32c" ref="A21:I26" totalsRowShown="0" headerRowDxfId="1936" dataDxfId="1935">
  <tableColumns count="9">
    <tableColumn id="1" xr3:uid="{00000000-0010-0000-5700-000001000000}" name="Group" dataDxfId="1945"/>
    <tableColumn id="2" xr3:uid="{00000000-0010-0000-5700-000002000000}" name="2006-2008" dataDxfId="1944"/>
    <tableColumn id="3" xr3:uid="{00000000-0010-0000-5700-000003000000}" name="2008-2010" dataDxfId="1943"/>
    <tableColumn id="4" xr3:uid="{00000000-0010-0000-5700-000004000000}" name="2010-2012" dataDxfId="1942"/>
    <tableColumn id="5" xr3:uid="{00000000-0010-0000-5700-000005000000}" name="2012-2014" dataDxfId="1941"/>
    <tableColumn id="6" xr3:uid="{00000000-0010-0000-5700-000006000000}" name="2014-2016" dataDxfId="1940"/>
    <tableColumn id="7" xr3:uid="{00000000-0010-0000-5700-000007000000}" name="2016-2018" dataDxfId="1939"/>
    <tableColumn id="8" xr3:uid="{00000000-0010-0000-5700-000008000000}" name="2018-2020" dataDxfId="1938"/>
    <tableColumn id="9" xr3:uid="{00000000-0010-0000-5700-000009000000}" name="2020-2022" dataDxfId="1937"/>
  </tableColumns>
  <tableStyleInfo name="TableStyleLight1" showFirstColumn="1" showLastColumn="0" showRowStripes="0"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3" xr:uid="{00000000-000C-0000-FFFF-FFFF58000000}" name="table32d" displayName="table32d" ref="A28:I33" totalsRowShown="0" headerRowDxfId="1925" dataDxfId="1924">
  <tableColumns count="9">
    <tableColumn id="1" xr3:uid="{00000000-0010-0000-5800-000001000000}" name="Group" dataDxfId="1934"/>
    <tableColumn id="2" xr3:uid="{00000000-0010-0000-5800-000002000000}" name="2006-2008" dataDxfId="1933"/>
    <tableColumn id="3" xr3:uid="{00000000-0010-0000-5800-000003000000}" name="2008-2010" dataDxfId="1932"/>
    <tableColumn id="4" xr3:uid="{00000000-0010-0000-5800-000004000000}" name="2010-2012" dataDxfId="1931"/>
    <tableColumn id="5" xr3:uid="{00000000-0010-0000-5800-000005000000}" name="2012-2014" dataDxfId="1930"/>
    <tableColumn id="6" xr3:uid="{00000000-0010-0000-5800-000006000000}" name="2014-2016" dataDxfId="1929"/>
    <tableColumn id="7" xr3:uid="{00000000-0010-0000-5800-000007000000}" name="2016-2018" dataDxfId="1928"/>
    <tableColumn id="8" xr3:uid="{00000000-0010-0000-5800-000008000000}" name="2018-2020" dataDxfId="1927"/>
    <tableColumn id="9" xr3:uid="{00000000-0010-0000-5800-000009000000}" name="2020-2022" dataDxfId="1926"/>
  </tableColumns>
  <tableStyleInfo name="TableStyleLight1" showFirstColumn="1" showLastColumn="0" showRowStripes="0"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4" xr:uid="{00000000-000C-0000-FFFF-FFFF59000000}" name="table33a" displayName="table33a" ref="A7:E13" totalsRowShown="0" headerRowDxfId="1918" dataDxfId="1917">
  <tableColumns count="5">
    <tableColumn id="1" xr3:uid="{00000000-0010-0000-5900-000001000000}" name="Group" dataDxfId="1923"/>
    <tableColumn id="2" xr3:uid="{00000000-0010-0000-5900-000002000000}" name="2014-2016" dataDxfId="1922"/>
    <tableColumn id="3" xr3:uid="{00000000-0010-0000-5900-000003000000}" name="2016-2018" dataDxfId="1921"/>
    <tableColumn id="4" xr3:uid="{00000000-0010-0000-5900-000004000000}" name="2018-2020" dataDxfId="1920"/>
    <tableColumn id="5" xr3:uid="{00000000-0010-0000-5900-000005000000}" name="2020-2022" dataDxfId="1919"/>
  </tableColumns>
  <tableStyleInfo name="TableStyleLight1" showFirstColumn="1" showLastColumn="0" showRowStripes="0"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5" xr:uid="{00000000-000C-0000-FFFF-FFFF5A000000}" name="table33b" displayName="table33b" ref="A15:E21" totalsRowShown="0" headerRowDxfId="1911" dataDxfId="1910">
  <tableColumns count="5">
    <tableColumn id="1" xr3:uid="{00000000-0010-0000-5A00-000001000000}" name="Group" dataDxfId="1916"/>
    <tableColumn id="2" xr3:uid="{00000000-0010-0000-5A00-000002000000}" name="2014-2016" dataDxfId="1915"/>
    <tableColumn id="3" xr3:uid="{00000000-0010-0000-5A00-000003000000}" name="2016-2018" dataDxfId="1914"/>
    <tableColumn id="4" xr3:uid="{00000000-0010-0000-5A00-000004000000}" name="2018-2020" dataDxfId="1913"/>
    <tableColumn id="5" xr3:uid="{00000000-0010-0000-5A00-000005000000}" name="2020-2022" dataDxfId="1912"/>
  </tableColumns>
  <tableStyleInfo name="TableStyleLight1" showFirstColumn="1" showLastColumn="0" showRowStripes="0"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6" xr:uid="{00000000-000C-0000-FFFF-FFFF5B000000}" name="table33c" displayName="table33c" ref="A23:E29" totalsRowShown="0" headerRowDxfId="1904" dataDxfId="1903">
  <tableColumns count="5">
    <tableColumn id="1" xr3:uid="{00000000-0010-0000-5B00-000001000000}" name="Group" dataDxfId="1909"/>
    <tableColumn id="2" xr3:uid="{00000000-0010-0000-5B00-000002000000}" name="2014-2016" dataDxfId="1908"/>
    <tableColumn id="3" xr3:uid="{00000000-0010-0000-5B00-000003000000}" name="2016-2018" dataDxfId="1907"/>
    <tableColumn id="4" xr3:uid="{00000000-0010-0000-5B00-000004000000}" name="2018-2020" dataDxfId="1906"/>
    <tableColumn id="5" xr3:uid="{00000000-0010-0000-5B00-000005000000}" name="2020-2022" dataDxfId="1905"/>
  </tableColumns>
  <tableStyleInfo name="TableStyleLight1" showFirstColumn="1" showLastColumn="0" showRowStripes="0"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7" xr:uid="{00000000-000C-0000-FFFF-FFFF5C000000}" name="table33d" displayName="table33d" ref="A31:E37" totalsRowShown="0" headerRowDxfId="1897" dataDxfId="1896">
  <tableColumns count="5">
    <tableColumn id="1" xr3:uid="{00000000-0010-0000-5C00-000001000000}" name="Group" dataDxfId="1902"/>
    <tableColumn id="2" xr3:uid="{00000000-0010-0000-5C00-000002000000}" name="2014-2016" dataDxfId="1901"/>
    <tableColumn id="3" xr3:uid="{00000000-0010-0000-5C00-000003000000}" name="2016-2018" dataDxfId="1900"/>
    <tableColumn id="4" xr3:uid="{00000000-0010-0000-5C00-000004000000}" name="2018-2020" dataDxfId="1899"/>
    <tableColumn id="5" xr3:uid="{00000000-0010-0000-5C00-000005000000}" name="2020-2022" dataDxfId="1898"/>
  </tableColumns>
  <tableStyleInfo name="TableStyleLight1" showFirstColumn="1" showLastColumn="0" showRowStripes="0"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8" xr:uid="{00000000-000C-0000-FFFF-FFFF5D000000}" name="table34a" displayName="table34a" ref="A7:I11" totalsRowShown="0" headerRowDxfId="1886" dataDxfId="1885">
  <tableColumns count="9">
    <tableColumn id="1" xr3:uid="{00000000-0010-0000-5D00-000001000000}" name="Group" dataDxfId="1895"/>
    <tableColumn id="2" xr3:uid="{00000000-0010-0000-5D00-000002000000}" name="2006-2008" dataDxfId="1894"/>
    <tableColumn id="3" xr3:uid="{00000000-0010-0000-5D00-000003000000}" name="2008-2010" dataDxfId="1893"/>
    <tableColumn id="4" xr3:uid="{00000000-0010-0000-5D00-000004000000}" name="2010-2012" dataDxfId="1892"/>
    <tableColumn id="5" xr3:uid="{00000000-0010-0000-5D00-000005000000}" name="2012-2014" dataDxfId="1891"/>
    <tableColumn id="6" xr3:uid="{00000000-0010-0000-5D00-000006000000}" name="2014-2016" dataDxfId="1890"/>
    <tableColumn id="7" xr3:uid="{00000000-0010-0000-5D00-000007000000}" name="2016-2018" dataDxfId="1889"/>
    <tableColumn id="8" xr3:uid="{00000000-0010-0000-5D00-000008000000}" name="2018-2020" dataDxfId="1888"/>
    <tableColumn id="9" xr3:uid="{00000000-0010-0000-5D00-000009000000}" name="2020-2022" dataDxfId="1887"/>
  </tableColumns>
  <tableStyleInfo name="TableStyleLight1" showFirstColumn="1" showLastColumn="0" showRowStripes="0"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9" xr:uid="{00000000-000C-0000-FFFF-FFFF5E000000}" name="table34b" displayName="table34b" ref="A13:I17" totalsRowShown="0" headerRowDxfId="1875" dataDxfId="1874">
  <tableColumns count="9">
    <tableColumn id="1" xr3:uid="{00000000-0010-0000-5E00-000001000000}" name="Group" dataDxfId="1884"/>
    <tableColumn id="2" xr3:uid="{00000000-0010-0000-5E00-000002000000}" name="2006-2008" dataDxfId="1883"/>
    <tableColumn id="3" xr3:uid="{00000000-0010-0000-5E00-000003000000}" name="2008-2010" dataDxfId="1882"/>
    <tableColumn id="4" xr3:uid="{00000000-0010-0000-5E00-000004000000}" name="2010-2012" dataDxfId="1881"/>
    <tableColumn id="5" xr3:uid="{00000000-0010-0000-5E00-000005000000}" name="2012-2014" dataDxfId="1880"/>
    <tableColumn id="6" xr3:uid="{00000000-0010-0000-5E00-000006000000}" name="2014-2016" dataDxfId="1879"/>
    <tableColumn id="7" xr3:uid="{00000000-0010-0000-5E00-000007000000}" name="2016-2018" dataDxfId="1878"/>
    <tableColumn id="8" xr3:uid="{00000000-0010-0000-5E00-000008000000}" name="2018-2020" dataDxfId="1877"/>
    <tableColumn id="9" xr3:uid="{00000000-0010-0000-5E00-000009000000}" name="2020-2022" dataDxfId="1876"/>
  </tableColumns>
  <tableStyleInfo name="TableStyleLight1" showFirstColumn="1" showLastColumn="0" showRowStripes="0"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0" xr:uid="{00000000-000C-0000-FFFF-FFFF5F000000}" name="table34c" displayName="table34c" ref="A19:I23" totalsRowShown="0" headerRowDxfId="1864" dataDxfId="1863">
  <tableColumns count="9">
    <tableColumn id="1" xr3:uid="{00000000-0010-0000-5F00-000001000000}" name="Group" dataDxfId="1873"/>
    <tableColumn id="2" xr3:uid="{00000000-0010-0000-5F00-000002000000}" name="2006-2008" dataDxfId="1872"/>
    <tableColumn id="3" xr3:uid="{00000000-0010-0000-5F00-000003000000}" name="2008-2010" dataDxfId="1871"/>
    <tableColumn id="4" xr3:uid="{00000000-0010-0000-5F00-000004000000}" name="2010-2012" dataDxfId="1870"/>
    <tableColumn id="5" xr3:uid="{00000000-0010-0000-5F00-000005000000}" name="2012-2014" dataDxfId="1869"/>
    <tableColumn id="6" xr3:uid="{00000000-0010-0000-5F00-000006000000}" name="2014-2016" dataDxfId="1868"/>
    <tableColumn id="7" xr3:uid="{00000000-0010-0000-5F00-000007000000}" name="2016-2018" dataDxfId="1867"/>
    <tableColumn id="8" xr3:uid="{00000000-0010-0000-5F00-000008000000}" name="2018-2020" dataDxfId="1866"/>
    <tableColumn id="9" xr3:uid="{00000000-0010-0000-5F00-000009000000}" name="2020-2022" dataDxfId="1865"/>
  </tableColumns>
  <tableStyleInfo name="TableStyleLight1" showFirstColumn="1" showLastColumn="0" showRowStripes="0"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1" xr:uid="{00000000-000C-0000-FFFF-FFFF60000000}" name="table34d" displayName="table34d" ref="A25:I29" totalsRowShown="0" headerRowDxfId="1853" dataDxfId="1852">
  <tableColumns count="9">
    <tableColumn id="1" xr3:uid="{00000000-0010-0000-6000-000001000000}" name="Group" dataDxfId="1862"/>
    <tableColumn id="2" xr3:uid="{00000000-0010-0000-6000-000002000000}" name="2006-2008" dataDxfId="1861"/>
    <tableColumn id="3" xr3:uid="{00000000-0010-0000-6000-000003000000}" name="2008-2010" dataDxfId="1860"/>
    <tableColumn id="4" xr3:uid="{00000000-0010-0000-6000-000004000000}" name="2010-2012" dataDxfId="1859"/>
    <tableColumn id="5" xr3:uid="{00000000-0010-0000-6000-000005000000}" name="2012-2014" dataDxfId="1858"/>
    <tableColumn id="6" xr3:uid="{00000000-0010-0000-6000-000006000000}" name="2014-2016" dataDxfId="1857"/>
    <tableColumn id="7" xr3:uid="{00000000-0010-0000-6000-000007000000}" name="2016-2018" dataDxfId="1856"/>
    <tableColumn id="8" xr3:uid="{00000000-0010-0000-6000-000008000000}" name="2018-2020" dataDxfId="1855"/>
    <tableColumn id="9" xr3:uid="{00000000-0010-0000-6000-000009000000}" name="2020-2022" dataDxfId="1854"/>
  </tableColumns>
  <tableStyleInfo name="TableStyleLight1" showFirstColumn="1" showLastColumn="0" showRowStripes="0"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2" xr:uid="{00000000-000C-0000-FFFF-FFFF61000000}" name="table35a" displayName="table35a" ref="A7:I14" totalsRowShown="0" headerRowDxfId="1842" dataDxfId="1841">
  <tableColumns count="9">
    <tableColumn id="1" xr3:uid="{00000000-0010-0000-6100-000001000000}" name="Group" dataDxfId="1851"/>
    <tableColumn id="2" xr3:uid="{00000000-0010-0000-6100-000002000000}" name="2006-2008" dataDxfId="1850"/>
    <tableColumn id="3" xr3:uid="{00000000-0010-0000-6100-000003000000}" name="2008-2010" dataDxfId="1849"/>
    <tableColumn id="4" xr3:uid="{00000000-0010-0000-6100-000004000000}" name="2010-2012" dataDxfId="1848"/>
    <tableColumn id="5" xr3:uid="{00000000-0010-0000-6100-000005000000}" name="2012-2014" dataDxfId="1847"/>
    <tableColumn id="6" xr3:uid="{00000000-0010-0000-6100-000006000000}" name="2014-2016" dataDxfId="1846"/>
    <tableColumn id="7" xr3:uid="{00000000-0010-0000-6100-000007000000}" name="2016-2018" dataDxfId="1845"/>
    <tableColumn id="8" xr3:uid="{00000000-0010-0000-6100-000008000000}" name="2018-2020" dataDxfId="1844"/>
    <tableColumn id="9" xr3:uid="{00000000-0010-0000-6100-000009000000}" name="2020-2022" dataDxfId="1843"/>
  </tableColumns>
  <tableStyleInfo name="TableStyleLight1" showFirstColumn="1" showLastColumn="0" showRowStripes="0"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3" xr:uid="{00000000-000C-0000-FFFF-FFFF62000000}" name="table35b" displayName="table35b" ref="A16:I23" totalsRowShown="0" headerRowDxfId="1831" dataDxfId="1830">
  <tableColumns count="9">
    <tableColumn id="1" xr3:uid="{00000000-0010-0000-6200-000001000000}" name="Group" dataDxfId="1840"/>
    <tableColumn id="2" xr3:uid="{00000000-0010-0000-6200-000002000000}" name="2006-2008" dataDxfId="1839"/>
    <tableColumn id="3" xr3:uid="{00000000-0010-0000-6200-000003000000}" name="2008-2010" dataDxfId="1838"/>
    <tableColumn id="4" xr3:uid="{00000000-0010-0000-6200-000004000000}" name="2010-2012" dataDxfId="1837"/>
    <tableColumn id="5" xr3:uid="{00000000-0010-0000-6200-000005000000}" name="2012-2014" dataDxfId="1836"/>
    <tableColumn id="6" xr3:uid="{00000000-0010-0000-6200-000006000000}" name="2014-2016" dataDxfId="1835"/>
    <tableColumn id="7" xr3:uid="{00000000-0010-0000-6200-000007000000}" name="2016-2018" dataDxfId="1834"/>
    <tableColumn id="8" xr3:uid="{00000000-0010-0000-6200-000008000000}" name="2018-2020" dataDxfId="1833"/>
    <tableColumn id="9" xr3:uid="{00000000-0010-0000-6200-000009000000}" name="2020-2022" dataDxfId="1832"/>
  </tableColumns>
  <tableStyleInfo name="TableStyleLight1" showFirstColumn="1" showLastColumn="0" showRowStripes="0"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4" xr:uid="{00000000-000C-0000-FFFF-FFFF63000000}" name="table35c" displayName="table35c" ref="A25:I32" totalsRowShown="0" headerRowDxfId="1820" dataDxfId="1819">
  <tableColumns count="9">
    <tableColumn id="1" xr3:uid="{00000000-0010-0000-6300-000001000000}" name="Group" dataDxfId="1829"/>
    <tableColumn id="2" xr3:uid="{00000000-0010-0000-6300-000002000000}" name="2006-2008" dataDxfId="1828"/>
    <tableColumn id="3" xr3:uid="{00000000-0010-0000-6300-000003000000}" name="2008-2010" dataDxfId="1827"/>
    <tableColumn id="4" xr3:uid="{00000000-0010-0000-6300-000004000000}" name="2010-2012" dataDxfId="1826"/>
    <tableColumn id="5" xr3:uid="{00000000-0010-0000-6300-000005000000}" name="2012-2014" dataDxfId="1825"/>
    <tableColumn id="6" xr3:uid="{00000000-0010-0000-6300-000006000000}" name="2014-2016" dataDxfId="1824"/>
    <tableColumn id="7" xr3:uid="{00000000-0010-0000-6300-000007000000}" name="2016-2018" dataDxfId="1823"/>
    <tableColumn id="8" xr3:uid="{00000000-0010-0000-6300-000008000000}" name="2018-2020" dataDxfId="1822"/>
    <tableColumn id="9" xr3:uid="{00000000-0010-0000-6300-000009000000}" name="2020-2022" dataDxfId="1821"/>
  </tableColumns>
  <tableStyleInfo name="TableStyleLight1" showFirstColumn="1" showLastColumn="0" showRowStripes="0"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5" xr:uid="{00000000-000C-0000-FFFF-FFFF64000000}" name="table35d" displayName="table35d" ref="A34:I41" totalsRowShown="0" headerRowDxfId="1809" dataDxfId="1808">
  <tableColumns count="9">
    <tableColumn id="1" xr3:uid="{00000000-0010-0000-6400-000001000000}" name="Group" dataDxfId="1818"/>
    <tableColumn id="2" xr3:uid="{00000000-0010-0000-6400-000002000000}" name="2006-2008" dataDxfId="1817"/>
    <tableColumn id="3" xr3:uid="{00000000-0010-0000-6400-000003000000}" name="2008-2010" dataDxfId="1816"/>
    <tableColumn id="4" xr3:uid="{00000000-0010-0000-6400-000004000000}" name="2010-2012" dataDxfId="1815"/>
    <tableColumn id="5" xr3:uid="{00000000-0010-0000-6400-000005000000}" name="2012-2014" dataDxfId="1814"/>
    <tableColumn id="6" xr3:uid="{00000000-0010-0000-6400-000006000000}" name="2014-2016" dataDxfId="1813"/>
    <tableColumn id="7" xr3:uid="{00000000-0010-0000-6400-000007000000}" name="2016-2018" dataDxfId="1812"/>
    <tableColumn id="8" xr3:uid="{00000000-0010-0000-6400-000008000000}" name="2018-2020" dataDxfId="1811"/>
    <tableColumn id="9" xr3:uid="{00000000-0010-0000-6400-000009000000}" name="2020-2022" dataDxfId="1810"/>
  </tableColumns>
  <tableStyleInfo name="TableStyleLight1" showFirstColumn="1" showLastColumn="0" showRowStripes="0"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6" xr:uid="{00000000-000C-0000-FFFF-FFFF65000000}" name="table36a" displayName="table36a" ref="A8:I14" totalsRowShown="0" headerRowDxfId="1798" dataDxfId="1797">
  <tableColumns count="9">
    <tableColumn id="1" xr3:uid="{00000000-0010-0000-6500-000001000000}" name="Group" dataDxfId="1807"/>
    <tableColumn id="2" xr3:uid="{00000000-0010-0000-6500-000002000000}" name="2006-2008" dataDxfId="1806"/>
    <tableColumn id="3" xr3:uid="{00000000-0010-0000-6500-000003000000}" name="2008-2010" dataDxfId="1805"/>
    <tableColumn id="4" xr3:uid="{00000000-0010-0000-6500-000004000000}" name="2010-2012" dataDxfId="1804"/>
    <tableColumn id="5" xr3:uid="{00000000-0010-0000-6500-000005000000}" name="2012-2014" dataDxfId="1803"/>
    <tableColumn id="6" xr3:uid="{00000000-0010-0000-6500-000006000000}" name="2014-2016" dataDxfId="1802"/>
    <tableColumn id="7" xr3:uid="{00000000-0010-0000-6500-000007000000}" name="2016-2018" dataDxfId="1801"/>
    <tableColumn id="8" xr3:uid="{00000000-0010-0000-6500-000008000000}" name="2018-2020" dataDxfId="1800"/>
    <tableColumn id="9" xr3:uid="{00000000-0010-0000-6500-000009000000}" name="2020-2022" dataDxfId="1799"/>
  </tableColumns>
  <tableStyleInfo name="TableStyleLight1" showFirstColumn="1" showLastColumn="0" showRowStripes="0"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7" xr:uid="{00000000-000C-0000-FFFF-FFFF66000000}" name="table36b" displayName="table36b" ref="A16:I22" totalsRowShown="0" headerRowDxfId="1787" dataDxfId="1786">
  <tableColumns count="9">
    <tableColumn id="1" xr3:uid="{00000000-0010-0000-6600-000001000000}" name="Group" dataDxfId="1796"/>
    <tableColumn id="2" xr3:uid="{00000000-0010-0000-6600-000002000000}" name="2006-2008" dataDxfId="1795"/>
    <tableColumn id="3" xr3:uid="{00000000-0010-0000-6600-000003000000}" name="2008-2010" dataDxfId="1794"/>
    <tableColumn id="4" xr3:uid="{00000000-0010-0000-6600-000004000000}" name="2010-2012" dataDxfId="1793"/>
    <tableColumn id="5" xr3:uid="{00000000-0010-0000-6600-000005000000}" name="2012-2014" dataDxfId="1792"/>
    <tableColumn id="6" xr3:uid="{00000000-0010-0000-6600-000006000000}" name="2014-2016" dataDxfId="1791"/>
    <tableColumn id="7" xr3:uid="{00000000-0010-0000-6600-000007000000}" name="2016-2018" dataDxfId="1790"/>
    <tableColumn id="8" xr3:uid="{00000000-0010-0000-6600-000008000000}" name="2018-2020" dataDxfId="1789"/>
    <tableColumn id="9" xr3:uid="{00000000-0010-0000-6600-000009000000}" name="2020-2022" dataDxfId="1788"/>
  </tableColumns>
  <tableStyleInfo name="TableStyleLight1" showFirstColumn="1" showLastColumn="0" showRowStripes="0"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8" xr:uid="{00000000-000C-0000-FFFF-FFFF67000000}" name="table36c" displayName="table36c" ref="A24:I30" totalsRowShown="0" headerRowDxfId="1776" dataDxfId="1775">
  <tableColumns count="9">
    <tableColumn id="1" xr3:uid="{00000000-0010-0000-6700-000001000000}" name="Group" dataDxfId="1785"/>
    <tableColumn id="2" xr3:uid="{00000000-0010-0000-6700-000002000000}" name="2006-2008" dataDxfId="1784"/>
    <tableColumn id="3" xr3:uid="{00000000-0010-0000-6700-000003000000}" name="2008-2010" dataDxfId="1783"/>
    <tableColumn id="4" xr3:uid="{00000000-0010-0000-6700-000004000000}" name="2010-2012" dataDxfId="1782"/>
    <tableColumn id="5" xr3:uid="{00000000-0010-0000-6700-000005000000}" name="2012-2014" dataDxfId="1781"/>
    <tableColumn id="6" xr3:uid="{00000000-0010-0000-6700-000006000000}" name="2014-2016" dataDxfId="1780"/>
    <tableColumn id="7" xr3:uid="{00000000-0010-0000-6700-000007000000}" name="2016-2018" dataDxfId="1779"/>
    <tableColumn id="8" xr3:uid="{00000000-0010-0000-6700-000008000000}" name="2018-2020" dataDxfId="1778"/>
    <tableColumn id="9" xr3:uid="{00000000-0010-0000-6700-000009000000}" name="2020-2022" dataDxfId="1777"/>
  </tableColumns>
  <tableStyleInfo name="TableStyleLight1" showFirstColumn="1" showLastColumn="0" showRowStripes="0"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9" xr:uid="{00000000-000C-0000-FFFF-FFFF68000000}" name="table36d" displayName="table36d" ref="A32:I38" totalsRowShown="0" headerRowDxfId="1765" dataDxfId="1764">
  <tableColumns count="9">
    <tableColumn id="1" xr3:uid="{00000000-0010-0000-6800-000001000000}" name="Group" dataDxfId="1774"/>
    <tableColumn id="2" xr3:uid="{00000000-0010-0000-6800-000002000000}" name="2006-2008" dataDxfId="1773"/>
    <tableColumn id="3" xr3:uid="{00000000-0010-0000-6800-000003000000}" name="2008-2010" dataDxfId="1772"/>
    <tableColumn id="4" xr3:uid="{00000000-0010-0000-6800-000004000000}" name="2010-2012" dataDxfId="1771"/>
    <tableColumn id="5" xr3:uid="{00000000-0010-0000-6800-000005000000}" name="2012-2014" dataDxfId="1770"/>
    <tableColumn id="6" xr3:uid="{00000000-0010-0000-6800-000006000000}" name="2014-2016" dataDxfId="1769"/>
    <tableColumn id="7" xr3:uid="{00000000-0010-0000-6800-000007000000}" name="2016-2018" dataDxfId="1768"/>
    <tableColumn id="8" xr3:uid="{00000000-0010-0000-6800-000008000000}" name="2018-2020" dataDxfId="1767"/>
    <tableColumn id="9" xr3:uid="{00000000-0010-0000-6800-000009000000}" name="2020-2022" dataDxfId="1766"/>
  </tableColumns>
  <tableStyleInfo name="TableStyleLight1" showFirstColumn="1" showLastColumn="0" showRowStripes="0"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0" xr:uid="{00000000-000C-0000-FFFF-FFFF69000000}" name="table37a" displayName="table37a" ref="A7:I10" totalsRowShown="0" headerRowDxfId="1754" dataDxfId="1753">
  <tableColumns count="9">
    <tableColumn id="1" xr3:uid="{00000000-0010-0000-6900-000001000000}" name="Group" dataDxfId="1763"/>
    <tableColumn id="2" xr3:uid="{00000000-0010-0000-6900-000002000000}" name="2006-2008" dataDxfId="1762"/>
    <tableColumn id="3" xr3:uid="{00000000-0010-0000-6900-000003000000}" name="2008-2010" dataDxfId="1761"/>
    <tableColumn id="4" xr3:uid="{00000000-0010-0000-6900-000004000000}" name="2010-2012" dataDxfId="1760"/>
    <tableColumn id="5" xr3:uid="{00000000-0010-0000-6900-000005000000}" name="2012-2014" dataDxfId="1759"/>
    <tableColumn id="6" xr3:uid="{00000000-0010-0000-6900-000006000000}" name="2014-2016" dataDxfId="1758"/>
    <tableColumn id="7" xr3:uid="{00000000-0010-0000-6900-000007000000}" name="2016-2018" dataDxfId="1757"/>
    <tableColumn id="8" xr3:uid="{00000000-0010-0000-6900-000008000000}" name="2018-2020" dataDxfId="1756"/>
    <tableColumn id="9" xr3:uid="{00000000-0010-0000-6900-000009000000}" name="2020-2022" dataDxfId="1755"/>
  </tableColumns>
  <tableStyleInfo name="TableStyleLight1" showFirstColumn="1" showLastColumn="0" showRowStripes="0"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1" xr:uid="{00000000-000C-0000-FFFF-FFFF6A000000}" name="table37b" displayName="table37b" ref="A12:I15" totalsRowShown="0" headerRowDxfId="1743" dataDxfId="1742">
  <tableColumns count="9">
    <tableColumn id="1" xr3:uid="{00000000-0010-0000-6A00-000001000000}" name="Group" dataDxfId="1752"/>
    <tableColumn id="2" xr3:uid="{00000000-0010-0000-6A00-000002000000}" name="2006-2008" dataDxfId="1751"/>
    <tableColumn id="3" xr3:uid="{00000000-0010-0000-6A00-000003000000}" name="2008-2010" dataDxfId="1750"/>
    <tableColumn id="4" xr3:uid="{00000000-0010-0000-6A00-000004000000}" name="2010-2012" dataDxfId="1749"/>
    <tableColumn id="5" xr3:uid="{00000000-0010-0000-6A00-000005000000}" name="2012-2014" dataDxfId="1748"/>
    <tableColumn id="6" xr3:uid="{00000000-0010-0000-6A00-000006000000}" name="2014-2016" dataDxfId="1747"/>
    <tableColumn id="7" xr3:uid="{00000000-0010-0000-6A00-000007000000}" name="2016-2018" dataDxfId="1746"/>
    <tableColumn id="8" xr3:uid="{00000000-0010-0000-6A00-000008000000}" name="2018-2020" dataDxfId="1745"/>
    <tableColumn id="9" xr3:uid="{00000000-0010-0000-6A00-000009000000}" name="2020-2022" dataDxfId="1744"/>
  </tableColumns>
  <tableStyleInfo name="TableStyleLight1" showFirstColumn="1" showLastColumn="0" showRowStripes="0"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2" xr:uid="{00000000-000C-0000-FFFF-FFFF6B000000}" name="table37c" displayName="table37c" ref="A17:I20" totalsRowShown="0" headerRowDxfId="1732" dataDxfId="1731">
  <tableColumns count="9">
    <tableColumn id="1" xr3:uid="{00000000-0010-0000-6B00-000001000000}" name="Group" dataDxfId="1741"/>
    <tableColumn id="2" xr3:uid="{00000000-0010-0000-6B00-000002000000}" name="2006-2008" dataDxfId="1740"/>
    <tableColumn id="3" xr3:uid="{00000000-0010-0000-6B00-000003000000}" name="2008-2010" dataDxfId="1739"/>
    <tableColumn id="4" xr3:uid="{00000000-0010-0000-6B00-000004000000}" name="2010-2012" dataDxfId="1738"/>
    <tableColumn id="5" xr3:uid="{00000000-0010-0000-6B00-000005000000}" name="2012-2014" dataDxfId="1737"/>
    <tableColumn id="6" xr3:uid="{00000000-0010-0000-6B00-000006000000}" name="2014-2016" dataDxfId="1736"/>
    <tableColumn id="7" xr3:uid="{00000000-0010-0000-6B00-000007000000}" name="2016-2018" dataDxfId="1735"/>
    <tableColumn id="8" xr3:uid="{00000000-0010-0000-6B00-000008000000}" name="2018-2020" dataDxfId="1734"/>
    <tableColumn id="9" xr3:uid="{00000000-0010-0000-6B00-000009000000}" name="2020-2022" dataDxfId="1733"/>
  </tableColumns>
  <tableStyleInfo name="TableStyleLight1" showFirstColumn="1" showLastColumn="0" showRowStripes="0"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3" xr:uid="{00000000-000C-0000-FFFF-FFFF6C000000}" name="table37d" displayName="table37d" ref="A22:I25" totalsRowShown="0" headerRowDxfId="1721" dataDxfId="1720">
  <tableColumns count="9">
    <tableColumn id="1" xr3:uid="{00000000-0010-0000-6C00-000001000000}" name="Group" dataDxfId="1730"/>
    <tableColumn id="2" xr3:uid="{00000000-0010-0000-6C00-000002000000}" name="2006-2008" dataDxfId="1729"/>
    <tableColumn id="3" xr3:uid="{00000000-0010-0000-6C00-000003000000}" name="2008-2010" dataDxfId="1728"/>
    <tableColumn id="4" xr3:uid="{00000000-0010-0000-6C00-000004000000}" name="2010-2012" dataDxfId="1727"/>
    <tableColumn id="5" xr3:uid="{00000000-0010-0000-6C00-000005000000}" name="2012-2014" dataDxfId="1726"/>
    <tableColumn id="6" xr3:uid="{00000000-0010-0000-6C00-000006000000}" name="2014-2016" dataDxfId="1725"/>
    <tableColumn id="7" xr3:uid="{00000000-0010-0000-6C00-000007000000}" name="2016-2018" dataDxfId="1724"/>
    <tableColumn id="8" xr3:uid="{00000000-0010-0000-6C00-000008000000}" name="2018-2020" dataDxfId="1723"/>
    <tableColumn id="9" xr3:uid="{00000000-0010-0000-6C00-000009000000}" name="2020-2022" dataDxfId="1722"/>
  </tableColumns>
  <tableStyleInfo name="TableStyleLight1" showFirstColumn="1" showLastColumn="0" showRowStripes="0"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4" xr:uid="{00000000-000C-0000-FFFF-FFFF6D000000}" name="table38a" displayName="table38a" ref="A7:I10" totalsRowShown="0" headerRowDxfId="1710" dataDxfId="1709">
  <tableColumns count="9">
    <tableColumn id="1" xr3:uid="{00000000-0010-0000-6D00-000001000000}" name="Group" dataDxfId="1719"/>
    <tableColumn id="2" xr3:uid="{00000000-0010-0000-6D00-000002000000}" name="2006-2008" dataDxfId="1718"/>
    <tableColumn id="3" xr3:uid="{00000000-0010-0000-6D00-000003000000}" name="2008-2010" dataDxfId="1717"/>
    <tableColumn id="4" xr3:uid="{00000000-0010-0000-6D00-000004000000}" name="2010-2012" dataDxfId="1716"/>
    <tableColumn id="5" xr3:uid="{00000000-0010-0000-6D00-000005000000}" name="2012-2014" dataDxfId="1715"/>
    <tableColumn id="6" xr3:uid="{00000000-0010-0000-6D00-000006000000}" name="2014-2016" dataDxfId="1714"/>
    <tableColumn id="7" xr3:uid="{00000000-0010-0000-6D00-000007000000}" name="2016-2018" dataDxfId="1713"/>
    <tableColumn id="8" xr3:uid="{00000000-0010-0000-6D00-000008000000}" name="2018-2020" dataDxfId="1712"/>
    <tableColumn id="9" xr3:uid="{00000000-0010-0000-6D00-000009000000}" name="2020-2022" dataDxfId="1711"/>
  </tableColumns>
  <tableStyleInfo name="TableStyleLight1" showFirstColumn="1" showLastColumn="0" showRowStripes="0"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5" xr:uid="{00000000-000C-0000-FFFF-FFFF6E000000}" name="table38b" displayName="table38b" ref="A12:I15" totalsRowShown="0" headerRowDxfId="1699" dataDxfId="1698">
  <tableColumns count="9">
    <tableColumn id="1" xr3:uid="{00000000-0010-0000-6E00-000001000000}" name="Group" dataDxfId="1708"/>
    <tableColumn id="2" xr3:uid="{00000000-0010-0000-6E00-000002000000}" name="2006-2008" dataDxfId="1707"/>
    <tableColumn id="3" xr3:uid="{00000000-0010-0000-6E00-000003000000}" name="2008-2010" dataDxfId="1706"/>
    <tableColumn id="4" xr3:uid="{00000000-0010-0000-6E00-000004000000}" name="2010-2012" dataDxfId="1705"/>
    <tableColumn id="5" xr3:uid="{00000000-0010-0000-6E00-000005000000}" name="2012-2014" dataDxfId="1704"/>
    <tableColumn id="6" xr3:uid="{00000000-0010-0000-6E00-000006000000}" name="2014-2016" dataDxfId="1703"/>
    <tableColumn id="7" xr3:uid="{00000000-0010-0000-6E00-000007000000}" name="2016-2018" dataDxfId="1702"/>
    <tableColumn id="8" xr3:uid="{00000000-0010-0000-6E00-000008000000}" name="2018-2020" dataDxfId="1701"/>
    <tableColumn id="9" xr3:uid="{00000000-0010-0000-6E00-000009000000}" name="2020-2022" dataDxfId="1700"/>
  </tableColumns>
  <tableStyleInfo name="TableStyleLight1" showFirstColumn="1" showLastColumn="0" showRowStripes="0"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6" xr:uid="{00000000-000C-0000-FFFF-FFFF6F000000}" name="table38c" displayName="table38c" ref="A17:I20" totalsRowShown="0" headerRowDxfId="1688" dataDxfId="1687">
  <tableColumns count="9">
    <tableColumn id="1" xr3:uid="{00000000-0010-0000-6F00-000001000000}" name="Group" dataDxfId="1697"/>
    <tableColumn id="2" xr3:uid="{00000000-0010-0000-6F00-000002000000}" name="2006-2008" dataDxfId="1696"/>
    <tableColumn id="3" xr3:uid="{00000000-0010-0000-6F00-000003000000}" name="2008-2010" dataDxfId="1695"/>
    <tableColumn id="4" xr3:uid="{00000000-0010-0000-6F00-000004000000}" name="2010-2012" dataDxfId="1694"/>
    <tableColumn id="5" xr3:uid="{00000000-0010-0000-6F00-000005000000}" name="2012-2014" dataDxfId="1693"/>
    <tableColumn id="6" xr3:uid="{00000000-0010-0000-6F00-000006000000}" name="2014-2016" dataDxfId="1692"/>
    <tableColumn id="7" xr3:uid="{00000000-0010-0000-6F00-000007000000}" name="2016-2018" dataDxfId="1691"/>
    <tableColumn id="8" xr3:uid="{00000000-0010-0000-6F00-000008000000}" name="2018-2020" dataDxfId="1690"/>
    <tableColumn id="9" xr3:uid="{00000000-0010-0000-6F00-000009000000}" name="2020-2022" dataDxfId="1689"/>
  </tableColumns>
  <tableStyleInfo name="TableStyleLight1" showFirstColumn="1" showLastColumn="0" showRowStripes="0"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7" xr:uid="{00000000-000C-0000-FFFF-FFFF70000000}" name="table38d" displayName="table38d" ref="A22:I25" totalsRowShown="0" headerRowDxfId="1677" dataDxfId="1676">
  <tableColumns count="9">
    <tableColumn id="1" xr3:uid="{00000000-0010-0000-7000-000001000000}" name="Group" dataDxfId="1686"/>
    <tableColumn id="2" xr3:uid="{00000000-0010-0000-7000-000002000000}" name="2006-2008" dataDxfId="1685"/>
    <tableColumn id="3" xr3:uid="{00000000-0010-0000-7000-000003000000}" name="2008-2010" dataDxfId="1684"/>
    <tableColumn id="4" xr3:uid="{00000000-0010-0000-7000-000004000000}" name="2010-2012" dataDxfId="1683"/>
    <tableColumn id="5" xr3:uid="{00000000-0010-0000-7000-000005000000}" name="2012-2014" dataDxfId="1682"/>
    <tableColumn id="6" xr3:uid="{00000000-0010-0000-7000-000006000000}" name="2014-2016" dataDxfId="1681"/>
    <tableColumn id="7" xr3:uid="{00000000-0010-0000-7000-000007000000}" name="2016-2018" dataDxfId="1680"/>
    <tableColumn id="8" xr3:uid="{00000000-0010-0000-7000-000008000000}" name="2018-2020" dataDxfId="1679"/>
    <tableColumn id="9" xr3:uid="{00000000-0010-0000-7000-000009000000}" name="2020-2022" dataDxfId="1678"/>
  </tableColumns>
  <tableStyleInfo name="TableStyleLight1" showFirstColumn="1" showLastColumn="0" showRowStripes="0"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8" xr:uid="{00000000-000C-0000-FFFF-FFFF71000000}" name="table39a" displayName="table39a" ref="A7:I10" totalsRowShown="0" headerRowDxfId="1666" dataDxfId="1665">
  <tableColumns count="9">
    <tableColumn id="1" xr3:uid="{00000000-0010-0000-7100-000001000000}" name="Group" dataDxfId="1675"/>
    <tableColumn id="2" xr3:uid="{00000000-0010-0000-7100-000002000000}" name="2006-2008" dataDxfId="1674"/>
    <tableColumn id="3" xr3:uid="{00000000-0010-0000-7100-000003000000}" name="2008-2010" dataDxfId="1673"/>
    <tableColumn id="4" xr3:uid="{00000000-0010-0000-7100-000004000000}" name="2010-2012" dataDxfId="1672"/>
    <tableColumn id="5" xr3:uid="{00000000-0010-0000-7100-000005000000}" name="2012-2014" dataDxfId="1671"/>
    <tableColumn id="6" xr3:uid="{00000000-0010-0000-7100-000006000000}" name="2014-2016" dataDxfId="1670"/>
    <tableColumn id="7" xr3:uid="{00000000-0010-0000-7100-000007000000}" name="2016-2018" dataDxfId="1669"/>
    <tableColumn id="8" xr3:uid="{00000000-0010-0000-7100-000008000000}" name="2018-2020" dataDxfId="1668"/>
    <tableColumn id="9" xr3:uid="{00000000-0010-0000-7100-000009000000}" name="2020-2022" dataDxfId="1667"/>
  </tableColumns>
  <tableStyleInfo name="TableStyleLight1" showFirstColumn="1" showLastColumn="0" showRowStripes="0"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9" xr:uid="{00000000-000C-0000-FFFF-FFFF72000000}" name="table39b" displayName="table39b" ref="A12:I15" totalsRowShown="0" headerRowDxfId="1655" dataDxfId="1654">
  <tableColumns count="9">
    <tableColumn id="1" xr3:uid="{00000000-0010-0000-7200-000001000000}" name="Group" dataDxfId="1664"/>
    <tableColumn id="2" xr3:uid="{00000000-0010-0000-7200-000002000000}" name="2006-2008" dataDxfId="1663"/>
    <tableColumn id="3" xr3:uid="{00000000-0010-0000-7200-000003000000}" name="2008-2010" dataDxfId="1662"/>
    <tableColumn id="4" xr3:uid="{00000000-0010-0000-7200-000004000000}" name="2010-2012" dataDxfId="1661"/>
    <tableColumn id="5" xr3:uid="{00000000-0010-0000-7200-000005000000}" name="2012-2014" dataDxfId="1660"/>
    <tableColumn id="6" xr3:uid="{00000000-0010-0000-7200-000006000000}" name="2014-2016" dataDxfId="1659"/>
    <tableColumn id="7" xr3:uid="{00000000-0010-0000-7200-000007000000}" name="2016-2018" dataDxfId="1658"/>
    <tableColumn id="8" xr3:uid="{00000000-0010-0000-7200-000008000000}" name="2018-2020" dataDxfId="1657"/>
    <tableColumn id="9" xr3:uid="{00000000-0010-0000-7200-000009000000}" name="2020-2022" dataDxfId="1656"/>
  </tableColumns>
  <tableStyleInfo name="TableStyleLight1" showFirstColumn="1" showLastColumn="0" showRowStripes="0"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0" xr:uid="{00000000-000C-0000-FFFF-FFFF73000000}" name="table39c" displayName="table39c" ref="A17:I20" totalsRowShown="0" headerRowDxfId="1644" dataDxfId="1643">
  <tableColumns count="9">
    <tableColumn id="1" xr3:uid="{00000000-0010-0000-7300-000001000000}" name="Group" dataDxfId="1653"/>
    <tableColumn id="2" xr3:uid="{00000000-0010-0000-7300-000002000000}" name="2006-2008" dataDxfId="1652"/>
    <tableColumn id="3" xr3:uid="{00000000-0010-0000-7300-000003000000}" name="2008-2010" dataDxfId="1651"/>
    <tableColumn id="4" xr3:uid="{00000000-0010-0000-7300-000004000000}" name="2010-2012" dataDxfId="1650"/>
    <tableColumn id="5" xr3:uid="{00000000-0010-0000-7300-000005000000}" name="2012-2014" dataDxfId="1649"/>
    <tableColumn id="6" xr3:uid="{00000000-0010-0000-7300-000006000000}" name="2014-2016" dataDxfId="1648"/>
    <tableColumn id="7" xr3:uid="{00000000-0010-0000-7300-000007000000}" name="2016-2018" dataDxfId="1647"/>
    <tableColumn id="8" xr3:uid="{00000000-0010-0000-7300-000008000000}" name="2018-2020" dataDxfId="1646"/>
    <tableColumn id="9" xr3:uid="{00000000-0010-0000-7300-000009000000}" name="2020-2022" dataDxfId="1645"/>
  </tableColumns>
  <tableStyleInfo name="TableStyleLight1" showFirstColumn="1" showLastColumn="0" showRowStripes="0"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1" xr:uid="{00000000-000C-0000-FFFF-FFFF74000000}" name="table39d" displayName="table39d" ref="A22:I25" totalsRowShown="0" headerRowDxfId="1633" dataDxfId="1632">
  <tableColumns count="9">
    <tableColumn id="1" xr3:uid="{00000000-0010-0000-7400-000001000000}" name="Group" dataDxfId="1642"/>
    <tableColumn id="2" xr3:uid="{00000000-0010-0000-7400-000002000000}" name="2006-2008" dataDxfId="1641"/>
    <tableColumn id="3" xr3:uid="{00000000-0010-0000-7400-000003000000}" name="2008-2010" dataDxfId="1640"/>
    <tableColumn id="4" xr3:uid="{00000000-0010-0000-7400-000004000000}" name="2010-2012" dataDxfId="1639"/>
    <tableColumn id="5" xr3:uid="{00000000-0010-0000-7400-000005000000}" name="2012-2014" dataDxfId="1638"/>
    <tableColumn id="6" xr3:uid="{00000000-0010-0000-7400-000006000000}" name="2014-2016" dataDxfId="1637"/>
    <tableColumn id="7" xr3:uid="{00000000-0010-0000-7400-000007000000}" name="2016-2018" dataDxfId="1636"/>
    <tableColumn id="8" xr3:uid="{00000000-0010-0000-7400-000008000000}" name="2018-2020" dataDxfId="1635"/>
    <tableColumn id="9" xr3:uid="{00000000-0010-0000-7400-000009000000}" name="2020-2022" dataDxfId="1634"/>
  </tableColumns>
  <tableStyleInfo name="TableStyleLight1" showFirstColumn="1" showLastColumn="0" showRowStripes="0"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2" xr:uid="{00000000-000C-0000-FFFF-FFFF75000000}" name="table40a" displayName="table40a" ref="A9:I12" totalsRowShown="0" headerRowDxfId="1622" dataDxfId="1621">
  <tableColumns count="9">
    <tableColumn id="1" xr3:uid="{00000000-0010-0000-7500-000001000000}" name="Group" dataDxfId="1631"/>
    <tableColumn id="2" xr3:uid="{00000000-0010-0000-7500-000002000000}" name="2006-2008" dataDxfId="1630"/>
    <tableColumn id="3" xr3:uid="{00000000-0010-0000-7500-000003000000}" name="2008-2010" dataDxfId="1629"/>
    <tableColumn id="4" xr3:uid="{00000000-0010-0000-7500-000004000000}" name="2010-2012" dataDxfId="1628"/>
    <tableColumn id="5" xr3:uid="{00000000-0010-0000-7500-000005000000}" name="2012-2014" dataDxfId="1627"/>
    <tableColumn id="6" xr3:uid="{00000000-0010-0000-7500-000006000000}" name="2014-2016" dataDxfId="1626"/>
    <tableColumn id="7" xr3:uid="{00000000-0010-0000-7500-000007000000}" name="2016-2018" dataDxfId="1625"/>
    <tableColumn id="8" xr3:uid="{00000000-0010-0000-7500-000008000000}" name="2018-2020" dataDxfId="1624"/>
    <tableColumn id="9" xr3:uid="{00000000-0010-0000-7500-000009000000}" name="2020-2022" dataDxfId="1623"/>
  </tableColumns>
  <tableStyleInfo name="TableStyleLight1" showFirstColumn="1" showLastColumn="0" showRowStripes="0"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3" xr:uid="{00000000-000C-0000-FFFF-FFFF76000000}" name="table40b" displayName="table40b" ref="A14:I17" totalsRowShown="0" headerRowDxfId="1611" dataDxfId="1610">
  <tableColumns count="9">
    <tableColumn id="1" xr3:uid="{00000000-0010-0000-7600-000001000000}" name="Group" dataDxfId="1620"/>
    <tableColumn id="2" xr3:uid="{00000000-0010-0000-7600-000002000000}" name="2006-2008" dataDxfId="1619"/>
    <tableColumn id="3" xr3:uid="{00000000-0010-0000-7600-000003000000}" name="2008-2010" dataDxfId="1618"/>
    <tableColumn id="4" xr3:uid="{00000000-0010-0000-7600-000004000000}" name="2010-2012" dataDxfId="1617"/>
    <tableColumn id="5" xr3:uid="{00000000-0010-0000-7600-000005000000}" name="2012-2014" dataDxfId="1616"/>
    <tableColumn id="6" xr3:uid="{00000000-0010-0000-7600-000006000000}" name="2014-2016" dataDxfId="1615"/>
    <tableColumn id="7" xr3:uid="{00000000-0010-0000-7600-000007000000}" name="2016-2018" dataDxfId="1614"/>
    <tableColumn id="8" xr3:uid="{00000000-0010-0000-7600-000008000000}" name="2018-2020" dataDxfId="1613"/>
    <tableColumn id="9" xr3:uid="{00000000-0010-0000-7600-000009000000}" name="2020-2022" dataDxfId="1612"/>
  </tableColumns>
  <tableStyleInfo name="TableStyleLight1" showFirstColumn="1" showLastColumn="0" showRowStripes="0"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4" xr:uid="{00000000-000C-0000-FFFF-FFFF77000000}" name="table40c" displayName="table40c" ref="A19:I22" totalsRowShown="0" headerRowDxfId="1600" dataDxfId="1599">
  <tableColumns count="9">
    <tableColumn id="1" xr3:uid="{00000000-0010-0000-7700-000001000000}" name="Group" dataDxfId="1609"/>
    <tableColumn id="2" xr3:uid="{00000000-0010-0000-7700-000002000000}" name="2006-2008" dataDxfId="1608"/>
    <tableColumn id="3" xr3:uid="{00000000-0010-0000-7700-000003000000}" name="2008-2010" dataDxfId="1607"/>
    <tableColumn id="4" xr3:uid="{00000000-0010-0000-7700-000004000000}" name="2010-2012" dataDxfId="1606"/>
    <tableColumn id="5" xr3:uid="{00000000-0010-0000-7700-000005000000}" name="2012-2014" dataDxfId="1605"/>
    <tableColumn id="6" xr3:uid="{00000000-0010-0000-7700-000006000000}" name="2014-2016" dataDxfId="1604"/>
    <tableColumn id="7" xr3:uid="{00000000-0010-0000-7700-000007000000}" name="2016-2018" dataDxfId="1603"/>
    <tableColumn id="8" xr3:uid="{00000000-0010-0000-7700-000008000000}" name="2018-2020" dataDxfId="1602"/>
    <tableColumn id="9" xr3:uid="{00000000-0010-0000-7700-000009000000}" name="2020-2022" dataDxfId="1601"/>
  </tableColumns>
  <tableStyleInfo name="TableStyleLight1" showFirstColumn="1" showLastColumn="0" showRowStripes="0"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5" xr:uid="{00000000-000C-0000-FFFF-FFFF78000000}" name="table40d" displayName="table40d" ref="A24:I27" totalsRowShown="0" headerRowDxfId="1589" dataDxfId="1588">
  <tableColumns count="9">
    <tableColumn id="1" xr3:uid="{00000000-0010-0000-7800-000001000000}" name="Group" dataDxfId="1598"/>
    <tableColumn id="2" xr3:uid="{00000000-0010-0000-7800-000002000000}" name="2006-2008" dataDxfId="1597"/>
    <tableColumn id="3" xr3:uid="{00000000-0010-0000-7800-000003000000}" name="2008-2010" dataDxfId="1596"/>
    <tableColumn id="4" xr3:uid="{00000000-0010-0000-7800-000004000000}" name="2010-2012" dataDxfId="1595"/>
    <tableColumn id="5" xr3:uid="{00000000-0010-0000-7800-000005000000}" name="2012-2014" dataDxfId="1594"/>
    <tableColumn id="6" xr3:uid="{00000000-0010-0000-7800-000006000000}" name="2014-2016" dataDxfId="1593"/>
    <tableColumn id="7" xr3:uid="{00000000-0010-0000-7800-000007000000}" name="2016-2018" dataDxfId="1592"/>
    <tableColumn id="8" xr3:uid="{00000000-0010-0000-7800-000008000000}" name="2018-2020" dataDxfId="1591"/>
    <tableColumn id="9" xr3:uid="{00000000-0010-0000-7800-000009000000}" name="2020-2022" dataDxfId="1590"/>
  </tableColumns>
  <tableStyleInfo name="TableStyleLight1" showFirstColumn="1" showLastColumn="0" showRowStripes="0"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6" xr:uid="{00000000-000C-0000-FFFF-FFFF79000000}" name="table41a" displayName="table41a" ref="A8:I11" totalsRowShown="0" headerRowDxfId="1578" dataDxfId="1577">
  <tableColumns count="9">
    <tableColumn id="1" xr3:uid="{00000000-0010-0000-7900-000001000000}" name="Group" dataDxfId="1587"/>
    <tableColumn id="2" xr3:uid="{00000000-0010-0000-7900-000002000000}" name="2006-2008" dataDxfId="1586"/>
    <tableColumn id="3" xr3:uid="{00000000-0010-0000-7900-000003000000}" name="2008-2010" dataDxfId="1585"/>
    <tableColumn id="4" xr3:uid="{00000000-0010-0000-7900-000004000000}" name="2010-2012" dataDxfId="1584"/>
    <tableColumn id="5" xr3:uid="{00000000-0010-0000-7900-000005000000}" name="2012-2014" dataDxfId="1583"/>
    <tableColumn id="6" xr3:uid="{00000000-0010-0000-7900-000006000000}" name="2014-2016" dataDxfId="1582"/>
    <tableColumn id="7" xr3:uid="{00000000-0010-0000-7900-000007000000}" name="2016-2018" dataDxfId="1581"/>
    <tableColumn id="8" xr3:uid="{00000000-0010-0000-7900-000008000000}" name="2018-2020" dataDxfId="1580"/>
    <tableColumn id="9" xr3:uid="{00000000-0010-0000-7900-000009000000}" name="2020-2022" dataDxfId="1579"/>
  </tableColumns>
  <tableStyleInfo name="TableStyleLight1" showFirstColumn="1" showLastColumn="0" showRowStripes="0"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7" xr:uid="{00000000-000C-0000-FFFF-FFFF7A000000}" name="table41b" displayName="table41b" ref="A13:I16" totalsRowShown="0" headerRowDxfId="1567" dataDxfId="1566">
  <tableColumns count="9">
    <tableColumn id="1" xr3:uid="{00000000-0010-0000-7A00-000001000000}" name="Group" dataDxfId="1576"/>
    <tableColumn id="2" xr3:uid="{00000000-0010-0000-7A00-000002000000}" name="2006-2008" dataDxfId="1575"/>
    <tableColumn id="3" xr3:uid="{00000000-0010-0000-7A00-000003000000}" name="2008-2010" dataDxfId="1574"/>
    <tableColumn id="4" xr3:uid="{00000000-0010-0000-7A00-000004000000}" name="2010-2012" dataDxfId="1573"/>
    <tableColumn id="5" xr3:uid="{00000000-0010-0000-7A00-000005000000}" name="2012-2014" dataDxfId="1572"/>
    <tableColumn id="6" xr3:uid="{00000000-0010-0000-7A00-000006000000}" name="2014-2016" dataDxfId="1571"/>
    <tableColumn id="7" xr3:uid="{00000000-0010-0000-7A00-000007000000}" name="2016-2018" dataDxfId="1570"/>
    <tableColumn id="8" xr3:uid="{00000000-0010-0000-7A00-000008000000}" name="2018-2020" dataDxfId="1569"/>
    <tableColumn id="9" xr3:uid="{00000000-0010-0000-7A00-000009000000}" name="2020-2022" dataDxfId="1568"/>
  </tableColumns>
  <tableStyleInfo name="TableStyleLight1" showFirstColumn="1" showLastColumn="0" showRowStripes="0"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8" xr:uid="{00000000-000C-0000-FFFF-FFFF7B000000}" name="table41c" displayName="table41c" ref="A18:I21" totalsRowShown="0" headerRowDxfId="1556" dataDxfId="1555">
  <tableColumns count="9">
    <tableColumn id="1" xr3:uid="{00000000-0010-0000-7B00-000001000000}" name="Group" dataDxfId="1565"/>
    <tableColumn id="2" xr3:uid="{00000000-0010-0000-7B00-000002000000}" name="2006-2008" dataDxfId="1564"/>
    <tableColumn id="3" xr3:uid="{00000000-0010-0000-7B00-000003000000}" name="2008-2010" dataDxfId="1563"/>
    <tableColumn id="4" xr3:uid="{00000000-0010-0000-7B00-000004000000}" name="2010-2012" dataDxfId="1562"/>
    <tableColumn id="5" xr3:uid="{00000000-0010-0000-7B00-000005000000}" name="2012-2014" dataDxfId="1561"/>
    <tableColumn id="6" xr3:uid="{00000000-0010-0000-7B00-000006000000}" name="2014-2016" dataDxfId="1560"/>
    <tableColumn id="7" xr3:uid="{00000000-0010-0000-7B00-000007000000}" name="2016-2018" dataDxfId="1559"/>
    <tableColumn id="8" xr3:uid="{00000000-0010-0000-7B00-000008000000}" name="2018-2020" dataDxfId="1558"/>
    <tableColumn id="9" xr3:uid="{00000000-0010-0000-7B00-000009000000}" name="2020-2022" dataDxfId="1557"/>
  </tableColumns>
  <tableStyleInfo name="TableStyleLight1" showFirstColumn="1" showLastColumn="0" showRowStripes="0"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9" xr:uid="{00000000-000C-0000-FFFF-FFFF7C000000}" name="table41d" displayName="table41d" ref="A23:I26" totalsRowShown="0" headerRowDxfId="1545" dataDxfId="1544">
  <tableColumns count="9">
    <tableColumn id="1" xr3:uid="{00000000-0010-0000-7C00-000001000000}" name="Group" dataDxfId="1554"/>
    <tableColumn id="2" xr3:uid="{00000000-0010-0000-7C00-000002000000}" name="2006-2008" dataDxfId="1553"/>
    <tableColumn id="3" xr3:uid="{00000000-0010-0000-7C00-000003000000}" name="2008-2010" dataDxfId="1552"/>
    <tableColumn id="4" xr3:uid="{00000000-0010-0000-7C00-000004000000}" name="2010-2012" dataDxfId="1551"/>
    <tableColumn id="5" xr3:uid="{00000000-0010-0000-7C00-000005000000}" name="2012-2014" dataDxfId="1550"/>
    <tableColumn id="6" xr3:uid="{00000000-0010-0000-7C00-000006000000}" name="2014-2016" dataDxfId="1549"/>
    <tableColumn id="7" xr3:uid="{00000000-0010-0000-7C00-000007000000}" name="2016-2018" dataDxfId="1548"/>
    <tableColumn id="8" xr3:uid="{00000000-0010-0000-7C00-000008000000}" name="2018-2020" dataDxfId="1547"/>
    <tableColumn id="9" xr3:uid="{00000000-0010-0000-7C00-000009000000}" name="2020-2022" dataDxfId="1546"/>
  </tableColumns>
  <tableStyleInfo name="TableStyleLight1" showFirstColumn="1" showLastColumn="0" showRowStripes="0"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0" xr:uid="{00000000-000C-0000-FFFF-FFFF7D000000}" name="table42a" displayName="table42a" ref="A7:G8" totalsRowShown="0" headerRowDxfId="1536" dataDxfId="1535">
  <tableColumns count="7">
    <tableColumn id="1" xr3:uid="{00000000-0010-0000-7D00-000001000000}" name="Group" dataDxfId="1543"/>
    <tableColumn id="2" xr3:uid="{00000000-0010-0000-7D00-000002000000}" name="2010-2012" dataDxfId="1542"/>
    <tableColumn id="3" xr3:uid="{00000000-0010-0000-7D00-000003000000}" name="2012-2014" dataDxfId="1541"/>
    <tableColumn id="4" xr3:uid="{00000000-0010-0000-7D00-000004000000}" name="2014-2016" dataDxfId="1540"/>
    <tableColumn id="5" xr3:uid="{00000000-0010-0000-7D00-000005000000}" name="2016-2018" dataDxfId="1539"/>
    <tableColumn id="6" xr3:uid="{00000000-0010-0000-7D00-000006000000}" name="2018-2020" dataDxfId="1538"/>
    <tableColumn id="7" xr3:uid="{00000000-0010-0000-7D00-000007000000}" name="2020-2022" dataDxfId="1537"/>
  </tableColumns>
  <tableStyleInfo name="TableStyleLight1" showFirstColumn="1" showLastColumn="0" showRowStripes="0"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1" xr:uid="{00000000-000C-0000-FFFF-FFFF7E000000}" name="table42b" displayName="table42b" ref="A10:G11" totalsRowShown="0" headerRowDxfId="1527" dataDxfId="1526">
  <tableColumns count="7">
    <tableColumn id="1" xr3:uid="{00000000-0010-0000-7E00-000001000000}" name="Group" dataDxfId="1534"/>
    <tableColumn id="2" xr3:uid="{00000000-0010-0000-7E00-000002000000}" name="2010-2012" dataDxfId="1533"/>
    <tableColumn id="3" xr3:uid="{00000000-0010-0000-7E00-000003000000}" name="2012-2014" dataDxfId="1532"/>
    <tableColumn id="4" xr3:uid="{00000000-0010-0000-7E00-000004000000}" name="2014-2016" dataDxfId="1531"/>
    <tableColumn id="5" xr3:uid="{00000000-0010-0000-7E00-000005000000}" name="2016-2018" dataDxfId="1530"/>
    <tableColumn id="6" xr3:uid="{00000000-0010-0000-7E00-000006000000}" name="2018-2020" dataDxfId="1529"/>
    <tableColumn id="7" xr3:uid="{00000000-0010-0000-7E00-000007000000}" name="2020-2022" dataDxfId="1528"/>
  </tableColumns>
  <tableStyleInfo name="TableStyleLight1" showFirstColumn="1" showLastColumn="0" showRowStripes="0"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2" xr:uid="{00000000-000C-0000-FFFF-FFFF7F000000}" name="table42c" displayName="table42c" ref="A13:G14" totalsRowShown="0" headerRowDxfId="1518" dataDxfId="1517">
  <tableColumns count="7">
    <tableColumn id="1" xr3:uid="{00000000-0010-0000-7F00-000001000000}" name="Group" dataDxfId="1525"/>
    <tableColumn id="2" xr3:uid="{00000000-0010-0000-7F00-000002000000}" name="2010-2012" dataDxfId="1524"/>
    <tableColumn id="3" xr3:uid="{00000000-0010-0000-7F00-000003000000}" name="2012-2014" dataDxfId="1523"/>
    <tableColumn id="4" xr3:uid="{00000000-0010-0000-7F00-000004000000}" name="2014-2016" dataDxfId="1522"/>
    <tableColumn id="5" xr3:uid="{00000000-0010-0000-7F00-000005000000}" name="2016-2018" dataDxfId="1521"/>
    <tableColumn id="6" xr3:uid="{00000000-0010-0000-7F00-000006000000}" name="2018-2020" dataDxfId="1520"/>
    <tableColumn id="7" xr3:uid="{00000000-0010-0000-7F00-000007000000}" name="2020-2022" dataDxfId="1519"/>
  </tableColumns>
  <tableStyleInfo name="TableStyleLight1" showFirstColumn="1" showLastColumn="0" showRowStripes="0"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3" xr:uid="{00000000-000C-0000-FFFF-FFFF80000000}" name="table43a" displayName="table43a" ref="A7:F12" totalsRowShown="0" headerRowDxfId="1510" dataDxfId="1509">
  <tableColumns count="6">
    <tableColumn id="1" xr3:uid="{00000000-0010-0000-8000-000001000000}" name="Group" dataDxfId="1516"/>
    <tableColumn id="2" xr3:uid="{00000000-0010-0000-8000-000002000000}" name="2012-2014" dataDxfId="1515"/>
    <tableColumn id="3" xr3:uid="{00000000-0010-0000-8000-000003000000}" name="2014-2016" dataDxfId="1514"/>
    <tableColumn id="4" xr3:uid="{00000000-0010-0000-8000-000004000000}" name="2016-2018" dataDxfId="1513"/>
    <tableColumn id="5" xr3:uid="{00000000-0010-0000-8000-000005000000}" name="2018-2020" dataDxfId="1512"/>
    <tableColumn id="6" xr3:uid="{00000000-0010-0000-8000-000006000000}" name="2020-2022" dataDxfId="1511"/>
  </tableColumns>
  <tableStyleInfo name="TableStyleLight1" showFirstColumn="1" showLastColumn="0" showRowStripes="0"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4" xr:uid="{00000000-000C-0000-FFFF-FFFF81000000}" name="table43b" displayName="table43b" ref="A14:F19" totalsRowShown="0" headerRowDxfId="1502" dataDxfId="1501">
  <tableColumns count="6">
    <tableColumn id="1" xr3:uid="{00000000-0010-0000-8100-000001000000}" name="Group" dataDxfId="1508"/>
    <tableColumn id="2" xr3:uid="{00000000-0010-0000-8100-000002000000}" name="2012-2014" dataDxfId="1507"/>
    <tableColumn id="3" xr3:uid="{00000000-0010-0000-8100-000003000000}" name="2014-2016" dataDxfId="1506"/>
    <tableColumn id="4" xr3:uid="{00000000-0010-0000-8100-000004000000}" name="2016-2018" dataDxfId="1505"/>
    <tableColumn id="5" xr3:uid="{00000000-0010-0000-8100-000005000000}" name="2018-2020" dataDxfId="1504"/>
    <tableColumn id="6" xr3:uid="{00000000-0010-0000-8100-000006000000}" name="2020-2022" dataDxfId="1503"/>
  </tableColumns>
  <tableStyleInfo name="TableStyleLight1" showFirstColumn="1" showLastColumn="0" showRowStripes="0"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5" xr:uid="{00000000-000C-0000-FFFF-FFFF82000000}" name="table43c" displayName="table43c" ref="A21:F26" totalsRowShown="0" headerRowDxfId="1494" dataDxfId="1493">
  <tableColumns count="6">
    <tableColumn id="1" xr3:uid="{00000000-0010-0000-8200-000001000000}" name="Group" dataDxfId="1500"/>
    <tableColumn id="2" xr3:uid="{00000000-0010-0000-8200-000002000000}" name="2012-2014" dataDxfId="1499"/>
    <tableColumn id="3" xr3:uid="{00000000-0010-0000-8200-000003000000}" name="2014-2016" dataDxfId="1498"/>
    <tableColumn id="4" xr3:uid="{00000000-0010-0000-8200-000004000000}" name="2016-2018" dataDxfId="1497"/>
    <tableColumn id="5" xr3:uid="{00000000-0010-0000-8200-000005000000}" name="2018-2020" dataDxfId="1496"/>
    <tableColumn id="6" xr3:uid="{00000000-0010-0000-8200-000006000000}" name="2020-2022" dataDxfId="1495"/>
  </tableColumns>
  <tableStyleInfo name="TableStyleLight1" showFirstColumn="1" showLastColumn="0" showRowStripes="0"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6" xr:uid="{00000000-000C-0000-FFFF-FFFF83000000}" name="table43d" displayName="table43d" ref="A28:F33" totalsRowShown="0" headerRowDxfId="1486" dataDxfId="1485">
  <tableColumns count="6">
    <tableColumn id="1" xr3:uid="{00000000-0010-0000-8300-000001000000}" name="Group" dataDxfId="1492"/>
    <tableColumn id="2" xr3:uid="{00000000-0010-0000-8300-000002000000}" name="2012-2014" dataDxfId="1491"/>
    <tableColumn id="3" xr3:uid="{00000000-0010-0000-8300-000003000000}" name="2014-2016" dataDxfId="1490"/>
    <tableColumn id="4" xr3:uid="{00000000-0010-0000-8300-000004000000}" name="2016-2018" dataDxfId="1489"/>
    <tableColumn id="5" xr3:uid="{00000000-0010-0000-8300-000005000000}" name="2018-2020" dataDxfId="1488"/>
    <tableColumn id="6" xr3:uid="{00000000-0010-0000-8300-000006000000}" name="2020-2022" dataDxfId="1487"/>
  </tableColumns>
  <tableStyleInfo name="TableStyleLight1" showFirstColumn="1" showLastColumn="0" showRowStripes="0"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7" xr:uid="{00000000-000C-0000-FFFF-FFFF84000000}" name="table44a" displayName="table44a" ref="A8:G16" totalsRowShown="0" headerRowDxfId="1477" dataDxfId="1476">
  <tableColumns count="7">
    <tableColumn id="1" xr3:uid="{00000000-0010-0000-8400-000001000000}" name="Group" dataDxfId="1484"/>
    <tableColumn id="2" xr3:uid="{00000000-0010-0000-8400-000002000000}" name="2010-2012" dataDxfId="1483"/>
    <tableColumn id="3" xr3:uid="{00000000-0010-0000-8400-000003000000}" name="2012-2014" dataDxfId="1482"/>
    <tableColumn id="4" xr3:uid="{00000000-0010-0000-8400-000004000000}" name="2014-2016" dataDxfId="1481"/>
    <tableColumn id="5" xr3:uid="{00000000-0010-0000-8400-000005000000}" name="2016-2018" dataDxfId="1480"/>
    <tableColumn id="6" xr3:uid="{00000000-0010-0000-8400-000006000000}" name="2018-2020" dataDxfId="1479"/>
    <tableColumn id="7" xr3:uid="{00000000-0010-0000-8400-000007000000}" name="2020-2022" dataDxfId="1478"/>
  </tableColumns>
  <tableStyleInfo name="TableStyleLight1" showFirstColumn="1" showLastColumn="0" showRowStripes="0"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8" xr:uid="{00000000-000C-0000-FFFF-FFFF85000000}" name="table44b" displayName="table44b" ref="A18:G26" totalsRowShown="0" headerRowDxfId="1468" dataDxfId="1467">
  <tableColumns count="7">
    <tableColumn id="1" xr3:uid="{00000000-0010-0000-8500-000001000000}" name="Group" dataDxfId="1475"/>
    <tableColumn id="2" xr3:uid="{00000000-0010-0000-8500-000002000000}" name="2010-2012" dataDxfId="1474"/>
    <tableColumn id="3" xr3:uid="{00000000-0010-0000-8500-000003000000}" name="2012-2014" dataDxfId="1473"/>
    <tableColumn id="4" xr3:uid="{00000000-0010-0000-8500-000004000000}" name="2014-2016" dataDxfId="1472"/>
    <tableColumn id="5" xr3:uid="{00000000-0010-0000-8500-000005000000}" name="2016-2018" dataDxfId="1471"/>
    <tableColumn id="6" xr3:uid="{00000000-0010-0000-8500-000006000000}" name="2018-2020" dataDxfId="1470"/>
    <tableColumn id="7" xr3:uid="{00000000-0010-0000-8500-000007000000}" name="2020-2022" dataDxfId="1469"/>
  </tableColumns>
  <tableStyleInfo name="TableStyleLight1" showFirstColumn="1" showLastColumn="0" showRowStripes="0"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9" xr:uid="{00000000-000C-0000-FFFF-FFFF86000000}" name="table44c" displayName="table44c" ref="A28:G36" totalsRowShown="0" headerRowDxfId="1459" dataDxfId="1458">
  <tableColumns count="7">
    <tableColumn id="1" xr3:uid="{00000000-0010-0000-8600-000001000000}" name="Group" dataDxfId="1466"/>
    <tableColumn id="2" xr3:uid="{00000000-0010-0000-8600-000002000000}" name="2010-2012" dataDxfId="1465"/>
    <tableColumn id="3" xr3:uid="{00000000-0010-0000-8600-000003000000}" name="2012-2014" dataDxfId="1464"/>
    <tableColumn id="4" xr3:uid="{00000000-0010-0000-8600-000004000000}" name="2014-2016" dataDxfId="1463"/>
    <tableColumn id="5" xr3:uid="{00000000-0010-0000-8600-000005000000}" name="2016-2018" dataDxfId="1462"/>
    <tableColumn id="6" xr3:uid="{00000000-0010-0000-8600-000006000000}" name="2018-2020" dataDxfId="1461"/>
    <tableColumn id="7" xr3:uid="{00000000-0010-0000-8600-000007000000}" name="2020-2022" dataDxfId="1460"/>
  </tableColumns>
  <tableStyleInfo name="TableStyleLight1" showFirstColumn="1" showLastColumn="0" showRowStripes="0"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0" xr:uid="{00000000-000C-0000-FFFF-FFFF87000000}" name="table44d" displayName="table44d" ref="A38:G46" totalsRowShown="0" headerRowDxfId="1450" dataDxfId="1449">
  <tableColumns count="7">
    <tableColumn id="1" xr3:uid="{00000000-0010-0000-8700-000001000000}" name="Group" dataDxfId="1457"/>
    <tableColumn id="2" xr3:uid="{00000000-0010-0000-8700-000002000000}" name="2010-2012" dataDxfId="1456"/>
    <tableColumn id="3" xr3:uid="{00000000-0010-0000-8700-000003000000}" name="2012-2014" dataDxfId="1455"/>
    <tableColumn id="4" xr3:uid="{00000000-0010-0000-8700-000004000000}" name="2014-2016" dataDxfId="1454"/>
    <tableColumn id="5" xr3:uid="{00000000-0010-0000-8700-000005000000}" name="2016-2018" dataDxfId="1453"/>
    <tableColumn id="6" xr3:uid="{00000000-0010-0000-8700-000006000000}" name="2018-2020" dataDxfId="1452"/>
    <tableColumn id="7" xr3:uid="{00000000-0010-0000-8700-000007000000}" name="2020-2022" dataDxfId="1451"/>
  </tableColumns>
  <tableStyleInfo name="TableStyleLight1" showFirstColumn="1" showLastColumn="0" showRowStripes="0"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1" xr:uid="{00000000-000C-0000-FFFF-FFFF88000000}" name="table45a" displayName="table45a" ref="A7:G12" totalsRowShown="0" headerRowDxfId="1441" dataDxfId="1440">
  <tableColumns count="7">
    <tableColumn id="1" xr3:uid="{00000000-0010-0000-8800-000001000000}" name="Group" dataDxfId="1448"/>
    <tableColumn id="2" xr3:uid="{00000000-0010-0000-8800-000002000000}" name="2010-2012" dataDxfId="1447"/>
    <tableColumn id="3" xr3:uid="{00000000-0010-0000-8800-000003000000}" name="2012-2014" dataDxfId="1446"/>
    <tableColumn id="4" xr3:uid="{00000000-0010-0000-8800-000004000000}" name="2014-2016" dataDxfId="1445"/>
    <tableColumn id="5" xr3:uid="{00000000-0010-0000-8800-000005000000}" name="2016-2018" dataDxfId="1444"/>
    <tableColumn id="6" xr3:uid="{00000000-0010-0000-8800-000006000000}" name="2018-2020" dataDxfId="1443"/>
    <tableColumn id="7" xr3:uid="{00000000-0010-0000-8800-000007000000}" name="2020-2022" dataDxfId="1442"/>
  </tableColumns>
  <tableStyleInfo name="TableStyleLight1" showFirstColumn="1" showLastColumn="0" showRowStripes="0"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2" xr:uid="{00000000-000C-0000-FFFF-FFFF89000000}" name="table45b" displayName="table45b" ref="A14:G19" totalsRowShown="0" headerRowDxfId="1432" dataDxfId="1431">
  <tableColumns count="7">
    <tableColumn id="1" xr3:uid="{00000000-0010-0000-8900-000001000000}" name="Group" dataDxfId="1439"/>
    <tableColumn id="2" xr3:uid="{00000000-0010-0000-8900-000002000000}" name="2010-2012" dataDxfId="1438"/>
    <tableColumn id="3" xr3:uid="{00000000-0010-0000-8900-000003000000}" name="2012-2014" dataDxfId="1437"/>
    <tableColumn id="4" xr3:uid="{00000000-0010-0000-8900-000004000000}" name="2014-2016" dataDxfId="1436"/>
    <tableColumn id="5" xr3:uid="{00000000-0010-0000-8900-000005000000}" name="2016-2018" dataDxfId="1435"/>
    <tableColumn id="6" xr3:uid="{00000000-0010-0000-8900-000006000000}" name="2018-2020" dataDxfId="1434"/>
    <tableColumn id="7" xr3:uid="{00000000-0010-0000-8900-000007000000}" name="2020-2022" dataDxfId="1433"/>
  </tableColumns>
  <tableStyleInfo name="TableStyleLight1" showFirstColumn="1" showLastColumn="0" showRowStripes="0"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3" xr:uid="{00000000-000C-0000-FFFF-FFFF8A000000}" name="table45c" displayName="table45c" ref="A21:G26" totalsRowShown="0" headerRowDxfId="1423" dataDxfId="1422">
  <tableColumns count="7">
    <tableColumn id="1" xr3:uid="{00000000-0010-0000-8A00-000001000000}" name="Group" dataDxfId="1430"/>
    <tableColumn id="2" xr3:uid="{00000000-0010-0000-8A00-000002000000}" name="2010-2012" dataDxfId="1429"/>
    <tableColumn id="3" xr3:uid="{00000000-0010-0000-8A00-000003000000}" name="2012-2014" dataDxfId="1428"/>
    <tableColumn id="4" xr3:uid="{00000000-0010-0000-8A00-000004000000}" name="2014-2016" dataDxfId="1427"/>
    <tableColumn id="5" xr3:uid="{00000000-0010-0000-8A00-000005000000}" name="2016-2018" dataDxfId="1426"/>
    <tableColumn id="6" xr3:uid="{00000000-0010-0000-8A00-000006000000}" name="2018-2020" dataDxfId="1425"/>
    <tableColumn id="7" xr3:uid="{00000000-0010-0000-8A00-000007000000}" name="2020-2022" dataDxfId="1424"/>
  </tableColumns>
  <tableStyleInfo name="TableStyleLight1" showFirstColumn="1" showLastColumn="0" showRowStripes="0"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4" xr:uid="{00000000-000C-0000-FFFF-FFFF8B000000}" name="table45d" displayName="table45d" ref="A28:G33" totalsRowShown="0" headerRowDxfId="1414" dataDxfId="1413">
  <tableColumns count="7">
    <tableColumn id="1" xr3:uid="{00000000-0010-0000-8B00-000001000000}" name="Group" dataDxfId="1421"/>
    <tableColumn id="2" xr3:uid="{00000000-0010-0000-8B00-000002000000}" name="2010-2012" dataDxfId="1420"/>
    <tableColumn id="3" xr3:uid="{00000000-0010-0000-8B00-000003000000}" name="2012-2014" dataDxfId="1419"/>
    <tableColumn id="4" xr3:uid="{00000000-0010-0000-8B00-000004000000}" name="2014-2016" dataDxfId="1418"/>
    <tableColumn id="5" xr3:uid="{00000000-0010-0000-8B00-000005000000}" name="2016-2018" dataDxfId="1417"/>
    <tableColumn id="6" xr3:uid="{00000000-0010-0000-8B00-000006000000}" name="2018-2020" dataDxfId="1416"/>
    <tableColumn id="7" xr3:uid="{00000000-0010-0000-8B00-000007000000}" name="2020-2022" dataDxfId="1415"/>
  </tableColumns>
  <tableStyleInfo name="TableStyleLight1" showFirstColumn="1" showLastColumn="0" showRowStripes="0"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5" xr:uid="{00000000-000C-0000-FFFF-FFFF8C000000}" name="table46a" displayName="table46a" ref="A8:G11" totalsRowShown="0" headerRowDxfId="1405" dataDxfId="1404">
  <tableColumns count="7">
    <tableColumn id="1" xr3:uid="{00000000-0010-0000-8C00-000001000000}" name="Group" dataDxfId="1412"/>
    <tableColumn id="2" xr3:uid="{00000000-0010-0000-8C00-000002000000}" name="2010-2012" dataDxfId="1411"/>
    <tableColumn id="3" xr3:uid="{00000000-0010-0000-8C00-000003000000}" name="2012-2014" dataDxfId="1410"/>
    <tableColumn id="4" xr3:uid="{00000000-0010-0000-8C00-000004000000}" name="2014-2016" dataDxfId="1409"/>
    <tableColumn id="5" xr3:uid="{00000000-0010-0000-8C00-000005000000}" name="2016-2018" dataDxfId="1408"/>
    <tableColumn id="6" xr3:uid="{00000000-0010-0000-8C00-000006000000}" name="2018-2020" dataDxfId="1407"/>
    <tableColumn id="7" xr3:uid="{00000000-0010-0000-8C00-000007000000}" name="2020-2022" dataDxfId="1406"/>
  </tableColumns>
  <tableStyleInfo name="TableStyleLight1" showFirstColumn="1" showLastColumn="0" showRowStripes="0"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6" xr:uid="{00000000-000C-0000-FFFF-FFFF8D000000}" name="table46b" displayName="table46b" ref="A13:G16" totalsRowShown="0" headerRowDxfId="1396" dataDxfId="1395">
  <tableColumns count="7">
    <tableColumn id="1" xr3:uid="{00000000-0010-0000-8D00-000001000000}" name="Group" dataDxfId="1403"/>
    <tableColumn id="2" xr3:uid="{00000000-0010-0000-8D00-000002000000}" name="2010-2012" dataDxfId="1402"/>
    <tableColumn id="3" xr3:uid="{00000000-0010-0000-8D00-000003000000}" name="2012-2014" dataDxfId="1401"/>
    <tableColumn id="4" xr3:uid="{00000000-0010-0000-8D00-000004000000}" name="2014-2016" dataDxfId="1400"/>
    <tableColumn id="5" xr3:uid="{00000000-0010-0000-8D00-000005000000}" name="2016-2018" dataDxfId="1399"/>
    <tableColumn id="6" xr3:uid="{00000000-0010-0000-8D00-000006000000}" name="2018-2020" dataDxfId="1398"/>
    <tableColumn id="7" xr3:uid="{00000000-0010-0000-8D00-000007000000}" name="2020-2022" dataDxfId="1397"/>
  </tableColumns>
  <tableStyleInfo name="TableStyleLight1" showFirstColumn="1" showLastColumn="0" showRowStripes="0"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7" xr:uid="{00000000-000C-0000-FFFF-FFFF8E000000}" name="table46c" displayName="table46c" ref="A18:G21" totalsRowShown="0" headerRowDxfId="1387" dataDxfId="1386">
  <tableColumns count="7">
    <tableColumn id="1" xr3:uid="{00000000-0010-0000-8E00-000001000000}" name="Group" dataDxfId="1394"/>
    <tableColumn id="2" xr3:uid="{00000000-0010-0000-8E00-000002000000}" name="2010-2012" dataDxfId="1393"/>
    <tableColumn id="3" xr3:uid="{00000000-0010-0000-8E00-000003000000}" name="2012-2014" dataDxfId="1392"/>
    <tableColumn id="4" xr3:uid="{00000000-0010-0000-8E00-000004000000}" name="2014-2016" dataDxfId="1391"/>
    <tableColumn id="5" xr3:uid="{00000000-0010-0000-8E00-000005000000}" name="2016-2018" dataDxfId="1390"/>
    <tableColumn id="6" xr3:uid="{00000000-0010-0000-8E00-000006000000}" name="2018-2020" dataDxfId="1389"/>
    <tableColumn id="7" xr3:uid="{00000000-0010-0000-8E00-000007000000}" name="2020-2022" dataDxfId="1388"/>
  </tableColumns>
  <tableStyleInfo name="TableStyleLight1" showFirstColumn="1" showLastColumn="0" showRowStripes="0"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8" xr:uid="{00000000-000C-0000-FFFF-FFFF8F000000}" name="table46d" displayName="table46d" ref="A23:G26" totalsRowShown="0" headerRowDxfId="1378" dataDxfId="1377">
  <tableColumns count="7">
    <tableColumn id="1" xr3:uid="{00000000-0010-0000-8F00-000001000000}" name="Group" dataDxfId="1385"/>
    <tableColumn id="2" xr3:uid="{00000000-0010-0000-8F00-000002000000}" name="2010-2012" dataDxfId="1384"/>
    <tableColumn id="3" xr3:uid="{00000000-0010-0000-8F00-000003000000}" name="2012-2014" dataDxfId="1383"/>
    <tableColumn id="4" xr3:uid="{00000000-0010-0000-8F00-000004000000}" name="2014-2016" dataDxfId="1382"/>
    <tableColumn id="5" xr3:uid="{00000000-0010-0000-8F00-000005000000}" name="2016-2018" dataDxfId="1381"/>
    <tableColumn id="6" xr3:uid="{00000000-0010-0000-8F00-000006000000}" name="2018-2020" dataDxfId="1380"/>
    <tableColumn id="7" xr3:uid="{00000000-0010-0000-8F00-000007000000}" name="2020-2022" dataDxfId="1379"/>
  </tableColumns>
  <tableStyleInfo name="TableStyleLight1" showFirstColumn="1" showLastColumn="0" showRowStripes="0"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9" xr:uid="{00000000-000C-0000-FFFF-FFFF90000000}" name="table47a" displayName="table47a" ref="A7:G14" totalsRowShown="0" headerRowDxfId="1369" dataDxfId="1368">
  <tableColumns count="7">
    <tableColumn id="1" xr3:uid="{00000000-0010-0000-9000-000001000000}" name="Group" dataDxfId="1376"/>
    <tableColumn id="2" xr3:uid="{00000000-0010-0000-9000-000002000000}" name="2010-2012" dataDxfId="1375"/>
    <tableColumn id="3" xr3:uid="{00000000-0010-0000-9000-000003000000}" name="2012-2014" dataDxfId="1374"/>
    <tableColumn id="4" xr3:uid="{00000000-0010-0000-9000-000004000000}" name="2014-2016" dataDxfId="1373"/>
    <tableColumn id="5" xr3:uid="{00000000-0010-0000-9000-000005000000}" name="2016-2018" dataDxfId="1372"/>
    <tableColumn id="6" xr3:uid="{00000000-0010-0000-9000-000006000000}" name="2018-2020" dataDxfId="1371"/>
    <tableColumn id="7" xr3:uid="{00000000-0010-0000-9000-000007000000}" name="2020-2022" dataDxfId="1370"/>
  </tableColumns>
  <tableStyleInfo name="TableStyleLight1" showFirstColumn="1" showLastColumn="0" showRowStripes="0"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0" xr:uid="{00000000-000C-0000-FFFF-FFFF91000000}" name="table47b" displayName="table47b" ref="A16:G23" totalsRowShown="0" headerRowDxfId="1360" dataDxfId="1359">
  <tableColumns count="7">
    <tableColumn id="1" xr3:uid="{00000000-0010-0000-9100-000001000000}" name="Group" dataDxfId="1367"/>
    <tableColumn id="2" xr3:uid="{00000000-0010-0000-9100-000002000000}" name="2010-2012" dataDxfId="1366"/>
    <tableColumn id="3" xr3:uid="{00000000-0010-0000-9100-000003000000}" name="2012-2014" dataDxfId="1365"/>
    <tableColumn id="4" xr3:uid="{00000000-0010-0000-9100-000004000000}" name="2014-2016" dataDxfId="1364"/>
    <tableColumn id="5" xr3:uid="{00000000-0010-0000-9100-000005000000}" name="2016-2018" dataDxfId="1363"/>
    <tableColumn id="6" xr3:uid="{00000000-0010-0000-9100-000006000000}" name="2018-2020" dataDxfId="1362"/>
    <tableColumn id="7" xr3:uid="{00000000-0010-0000-9100-000007000000}" name="2020-2022" dataDxfId="1361"/>
  </tableColumns>
  <tableStyleInfo name="TableStyleLight1" showFirstColumn="1" showLastColumn="0" showRowStripes="0"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1" xr:uid="{00000000-000C-0000-FFFF-FFFF92000000}" name="table47c" displayName="table47c" ref="A25:G32" totalsRowShown="0" headerRowDxfId="1351" dataDxfId="1350">
  <tableColumns count="7">
    <tableColumn id="1" xr3:uid="{00000000-0010-0000-9200-000001000000}" name="Group" dataDxfId="1358"/>
    <tableColumn id="2" xr3:uid="{00000000-0010-0000-9200-000002000000}" name="2010-2012" dataDxfId="1357"/>
    <tableColumn id="3" xr3:uid="{00000000-0010-0000-9200-000003000000}" name="2012-2014" dataDxfId="1356"/>
    <tableColumn id="4" xr3:uid="{00000000-0010-0000-9200-000004000000}" name="2014-2016" dataDxfId="1355"/>
    <tableColumn id="5" xr3:uid="{00000000-0010-0000-9200-000005000000}" name="2016-2018" dataDxfId="1354"/>
    <tableColumn id="6" xr3:uid="{00000000-0010-0000-9200-000006000000}" name="2018-2020" dataDxfId="1353"/>
    <tableColumn id="7" xr3:uid="{00000000-0010-0000-9200-000007000000}" name="2020-2022" dataDxfId="1352"/>
  </tableColumns>
  <tableStyleInfo name="TableStyleLight1" showFirstColumn="1" showLastColumn="0" showRowStripes="0"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2" xr:uid="{00000000-000C-0000-FFFF-FFFF93000000}" name="table47d" displayName="table47d" ref="A34:G41" totalsRowShown="0" headerRowDxfId="1342" dataDxfId="1341">
  <tableColumns count="7">
    <tableColumn id="1" xr3:uid="{00000000-0010-0000-9300-000001000000}" name="Group" dataDxfId="1349"/>
    <tableColumn id="2" xr3:uid="{00000000-0010-0000-9300-000002000000}" name="2010-2012" dataDxfId="1348"/>
    <tableColumn id="3" xr3:uid="{00000000-0010-0000-9300-000003000000}" name="2012-2014" dataDxfId="1347"/>
    <tableColumn id="4" xr3:uid="{00000000-0010-0000-9300-000004000000}" name="2014-2016" dataDxfId="1346"/>
    <tableColumn id="5" xr3:uid="{00000000-0010-0000-9300-000005000000}" name="2016-2018" dataDxfId="1345"/>
    <tableColumn id="6" xr3:uid="{00000000-0010-0000-9300-000006000000}" name="2018-2020" dataDxfId="1344"/>
    <tableColumn id="7" xr3:uid="{00000000-0010-0000-9300-000007000000}" name="2020-2022" dataDxfId="1343"/>
  </tableColumns>
  <tableStyleInfo name="TableStyleLight1" showFirstColumn="1" showLastColumn="0" showRowStripes="0"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3" xr:uid="{00000000-000C-0000-FFFF-FFFF94000000}" name="table48a" displayName="table48a" ref="A7:G10" totalsRowShown="0" headerRowDxfId="1333" dataDxfId="1332">
  <tableColumns count="7">
    <tableColumn id="1" xr3:uid="{00000000-0010-0000-9400-000001000000}" name="Group" dataDxfId="1340"/>
    <tableColumn id="2" xr3:uid="{00000000-0010-0000-9400-000002000000}" name="2010-2012" dataDxfId="1339"/>
    <tableColumn id="3" xr3:uid="{00000000-0010-0000-9400-000003000000}" name="2012-2014" dataDxfId="1338"/>
    <tableColumn id="4" xr3:uid="{00000000-0010-0000-9400-000004000000}" name="2014-2016" dataDxfId="1337"/>
    <tableColumn id="5" xr3:uid="{00000000-0010-0000-9400-000005000000}" name="2016-2018" dataDxfId="1336"/>
    <tableColumn id="6" xr3:uid="{00000000-0010-0000-9400-000006000000}" name="2018-2020" dataDxfId="1335"/>
    <tableColumn id="7" xr3:uid="{00000000-0010-0000-9400-000007000000}" name="2020-2022" dataDxfId="1334"/>
  </tableColumns>
  <tableStyleInfo name="TableStyleLight1" showFirstColumn="1" showLastColumn="0" showRowStripes="0"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4" xr:uid="{00000000-000C-0000-FFFF-FFFF95000000}" name="table48b" displayName="table48b" ref="A12:G15" totalsRowShown="0" headerRowDxfId="1324" dataDxfId="1323">
  <tableColumns count="7">
    <tableColumn id="1" xr3:uid="{00000000-0010-0000-9500-000001000000}" name="Group" dataDxfId="1331"/>
    <tableColumn id="2" xr3:uid="{00000000-0010-0000-9500-000002000000}" name="2010-2012" dataDxfId="1330"/>
    <tableColumn id="3" xr3:uid="{00000000-0010-0000-9500-000003000000}" name="2012-2014" dataDxfId="1329"/>
    <tableColumn id="4" xr3:uid="{00000000-0010-0000-9500-000004000000}" name="2014-2016" dataDxfId="1328"/>
    <tableColumn id="5" xr3:uid="{00000000-0010-0000-9500-000005000000}" name="2016-2018" dataDxfId="1327"/>
    <tableColumn id="6" xr3:uid="{00000000-0010-0000-9500-000006000000}" name="2018-2020" dataDxfId="1326"/>
    <tableColumn id="7" xr3:uid="{00000000-0010-0000-9500-000007000000}" name="2020-2022" dataDxfId="1325"/>
  </tableColumns>
  <tableStyleInfo name="TableStyleLight1" showFirstColumn="1" showLastColumn="0" showRowStripes="0"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5" xr:uid="{00000000-000C-0000-FFFF-FFFF96000000}" name="table48c" displayName="table48c" ref="A17:G20" totalsRowShown="0" headerRowDxfId="1315" dataDxfId="1314">
  <tableColumns count="7">
    <tableColumn id="1" xr3:uid="{00000000-0010-0000-9600-000001000000}" name="Group" dataDxfId="1322"/>
    <tableColumn id="2" xr3:uid="{00000000-0010-0000-9600-000002000000}" name="2010-2012" dataDxfId="1321"/>
    <tableColumn id="3" xr3:uid="{00000000-0010-0000-9600-000003000000}" name="2012-2014" dataDxfId="1320"/>
    <tableColumn id="4" xr3:uid="{00000000-0010-0000-9600-000004000000}" name="2014-2016" dataDxfId="1319"/>
    <tableColumn id="5" xr3:uid="{00000000-0010-0000-9600-000005000000}" name="2016-2018" dataDxfId="1318"/>
    <tableColumn id="6" xr3:uid="{00000000-0010-0000-9600-000006000000}" name="2018-2020" dataDxfId="1317"/>
    <tableColumn id="7" xr3:uid="{00000000-0010-0000-9600-000007000000}" name="2020-2022" dataDxfId="1316"/>
  </tableColumns>
  <tableStyleInfo name="TableStyleLight1" showFirstColumn="1" showLastColumn="0" showRowStripes="0"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6" xr:uid="{00000000-000C-0000-FFFF-FFFF97000000}" name="table48d" displayName="table48d" ref="A22:G25" totalsRowShown="0" headerRowDxfId="1306" dataDxfId="1305">
  <tableColumns count="7">
    <tableColumn id="1" xr3:uid="{00000000-0010-0000-9700-000001000000}" name="Group" dataDxfId="1313"/>
    <tableColumn id="2" xr3:uid="{00000000-0010-0000-9700-000002000000}" name="2010-2012" dataDxfId="1312"/>
    <tableColumn id="3" xr3:uid="{00000000-0010-0000-9700-000003000000}" name="2012-2014" dataDxfId="1311"/>
    <tableColumn id="4" xr3:uid="{00000000-0010-0000-9700-000004000000}" name="2014-2016" dataDxfId="1310"/>
    <tableColumn id="5" xr3:uid="{00000000-0010-0000-9700-000005000000}" name="2016-2018" dataDxfId="1309"/>
    <tableColumn id="6" xr3:uid="{00000000-0010-0000-9700-000006000000}" name="2018-2020" dataDxfId="1308"/>
    <tableColumn id="7" xr3:uid="{00000000-0010-0000-9700-000007000000}" name="2020-2022" dataDxfId="1307"/>
  </tableColumns>
  <tableStyleInfo name="TableStyleLight1" showFirstColumn="1" showLastColumn="0" showRowStripes="0"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7" xr:uid="{00000000-000C-0000-FFFF-FFFF98000000}" name="table49a" displayName="table49a" ref="A7:E13" totalsRowShown="0" headerRowDxfId="1299" dataDxfId="1298">
  <tableColumns count="5">
    <tableColumn id="1" xr3:uid="{00000000-0010-0000-9800-000001000000}" name="Group" dataDxfId="1304"/>
    <tableColumn id="2" xr3:uid="{00000000-0010-0000-9800-000002000000}" name="2014-2016" dataDxfId="1303"/>
    <tableColumn id="3" xr3:uid="{00000000-0010-0000-9800-000003000000}" name="2016-2018" dataDxfId="1302"/>
    <tableColumn id="4" xr3:uid="{00000000-0010-0000-9800-000004000000}" name="2018-2020" dataDxfId="1301"/>
    <tableColumn id="5" xr3:uid="{00000000-0010-0000-9800-000005000000}" name="2020-2022" dataDxfId="1300"/>
  </tableColumns>
  <tableStyleInfo name="TableStyleLight1" showFirstColumn="1" showLastColumn="0" showRowStripes="0"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8" xr:uid="{00000000-000C-0000-FFFF-FFFF99000000}" name="table49b" displayName="table49b" ref="A15:E21" totalsRowShown="0" headerRowDxfId="1292" dataDxfId="1291">
  <tableColumns count="5">
    <tableColumn id="1" xr3:uid="{00000000-0010-0000-9900-000001000000}" name="Group" dataDxfId="1297"/>
    <tableColumn id="2" xr3:uid="{00000000-0010-0000-9900-000002000000}" name="2014-2016" dataDxfId="1296"/>
    <tableColumn id="3" xr3:uid="{00000000-0010-0000-9900-000003000000}" name="2016-2018" dataDxfId="1295"/>
    <tableColumn id="4" xr3:uid="{00000000-0010-0000-9900-000004000000}" name="2018-2020" dataDxfId="1294"/>
    <tableColumn id="5" xr3:uid="{00000000-0010-0000-9900-000005000000}" name="2020-2022" dataDxfId="1293"/>
  </tableColumns>
  <tableStyleInfo name="TableStyleLight1" showFirstColumn="1" showLastColumn="0" showRowStripes="0"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9" xr:uid="{00000000-000C-0000-FFFF-FFFF9A000000}" name="table49c" displayName="table49c" ref="A23:E29" totalsRowShown="0" headerRowDxfId="1285" dataDxfId="1284">
  <tableColumns count="5">
    <tableColumn id="1" xr3:uid="{00000000-0010-0000-9A00-000001000000}" name="Group" dataDxfId="1290"/>
    <tableColumn id="2" xr3:uid="{00000000-0010-0000-9A00-000002000000}" name="2014-2016" dataDxfId="1289"/>
    <tableColumn id="3" xr3:uid="{00000000-0010-0000-9A00-000003000000}" name="2016-2018" dataDxfId="1288"/>
    <tableColumn id="4" xr3:uid="{00000000-0010-0000-9A00-000004000000}" name="2018-2020" dataDxfId="1287"/>
    <tableColumn id="5" xr3:uid="{00000000-0010-0000-9A00-000005000000}" name="2020-2022" dataDxfId="1286"/>
  </tableColumns>
  <tableStyleInfo name="TableStyleLight1" showFirstColumn="1" showLastColumn="0" showRowStripes="0"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0" xr:uid="{00000000-000C-0000-FFFF-FFFF9B000000}" name="table49d" displayName="table49d" ref="A31:E37" totalsRowShown="0" headerRowDxfId="1278" dataDxfId="1277">
  <tableColumns count="5">
    <tableColumn id="1" xr3:uid="{00000000-0010-0000-9B00-000001000000}" name="Group" dataDxfId="1283"/>
    <tableColumn id="2" xr3:uid="{00000000-0010-0000-9B00-000002000000}" name="2014-2016" dataDxfId="1282"/>
    <tableColumn id="3" xr3:uid="{00000000-0010-0000-9B00-000003000000}" name="2016-2018" dataDxfId="1281"/>
    <tableColumn id="4" xr3:uid="{00000000-0010-0000-9B00-000004000000}" name="2018-2020" dataDxfId="1280"/>
    <tableColumn id="5" xr3:uid="{00000000-0010-0000-9B00-000005000000}" name="2020-2022" dataDxfId="1279"/>
  </tableColumns>
  <tableStyleInfo name="TableStyleLight1" showFirstColumn="1" showLastColumn="0" showRowStripes="0"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1" xr:uid="{00000000-000C-0000-FFFF-FFFF9C000000}" name="table50a" displayName="table50a" ref="A8:G14" totalsRowShown="0" headerRowDxfId="1269" dataDxfId="1268">
  <tableColumns count="7">
    <tableColumn id="1" xr3:uid="{00000000-0010-0000-9C00-000001000000}" name="Group" dataDxfId="1276"/>
    <tableColumn id="2" xr3:uid="{00000000-0010-0000-9C00-000002000000}" name="2010-2012" dataDxfId="1275"/>
    <tableColumn id="3" xr3:uid="{00000000-0010-0000-9C00-000003000000}" name="2012-2014" dataDxfId="1274"/>
    <tableColumn id="4" xr3:uid="{00000000-0010-0000-9C00-000004000000}" name="2014-2016" dataDxfId="1273"/>
    <tableColumn id="5" xr3:uid="{00000000-0010-0000-9C00-000005000000}" name="2016-2018" dataDxfId="1272"/>
    <tableColumn id="6" xr3:uid="{00000000-0010-0000-9C00-000006000000}" name="2018-2020" dataDxfId="1271"/>
    <tableColumn id="7" xr3:uid="{00000000-0010-0000-9C00-000007000000}" name="2020-2022" dataDxfId="1270"/>
  </tableColumns>
  <tableStyleInfo name="TableStyleLight1" showFirstColumn="1" showLastColumn="0" showRowStripes="0"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2" xr:uid="{00000000-000C-0000-FFFF-FFFF9D000000}" name="table50b" displayName="table50b" ref="A16:G22" totalsRowShown="0" headerRowDxfId="1260" dataDxfId="1259">
  <tableColumns count="7">
    <tableColumn id="1" xr3:uid="{00000000-0010-0000-9D00-000001000000}" name="Group" dataDxfId="1267"/>
    <tableColumn id="2" xr3:uid="{00000000-0010-0000-9D00-000002000000}" name="2010-2012" dataDxfId="1266"/>
    <tableColumn id="3" xr3:uid="{00000000-0010-0000-9D00-000003000000}" name="2012-2014" dataDxfId="1265"/>
    <tableColumn id="4" xr3:uid="{00000000-0010-0000-9D00-000004000000}" name="2014-2016" dataDxfId="1264"/>
    <tableColumn id="5" xr3:uid="{00000000-0010-0000-9D00-000005000000}" name="2016-2018" dataDxfId="1263"/>
    <tableColumn id="6" xr3:uid="{00000000-0010-0000-9D00-000006000000}" name="2018-2020" dataDxfId="1262"/>
    <tableColumn id="7" xr3:uid="{00000000-0010-0000-9D00-000007000000}" name="2020-2022" dataDxfId="1261"/>
  </tableColumns>
  <tableStyleInfo name="TableStyleLight1" showFirstColumn="1" showLastColumn="0" showRowStripes="0"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3" xr:uid="{00000000-000C-0000-FFFF-FFFF9E000000}" name="table50c" displayName="table50c" ref="A24:G30" totalsRowShown="0" headerRowDxfId="1251" dataDxfId="1250">
  <tableColumns count="7">
    <tableColumn id="1" xr3:uid="{00000000-0010-0000-9E00-000001000000}" name="Group" dataDxfId="1258"/>
    <tableColumn id="2" xr3:uid="{00000000-0010-0000-9E00-000002000000}" name="2010-2012" dataDxfId="1257"/>
    <tableColumn id="3" xr3:uid="{00000000-0010-0000-9E00-000003000000}" name="2012-2014" dataDxfId="1256"/>
    <tableColumn id="4" xr3:uid="{00000000-0010-0000-9E00-000004000000}" name="2014-2016" dataDxfId="1255"/>
    <tableColumn id="5" xr3:uid="{00000000-0010-0000-9E00-000005000000}" name="2016-2018" dataDxfId="1254"/>
    <tableColumn id="6" xr3:uid="{00000000-0010-0000-9E00-000006000000}" name="2018-2020" dataDxfId="1253"/>
    <tableColumn id="7" xr3:uid="{00000000-0010-0000-9E00-000007000000}" name="2020-2022" dataDxfId="1252"/>
  </tableColumns>
  <tableStyleInfo name="TableStyleLight1" showFirstColumn="1" showLastColumn="0" showRowStripes="0"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4" xr:uid="{00000000-000C-0000-FFFF-FFFF9F000000}" name="table50d" displayName="table50d" ref="A32:G38" totalsRowShown="0" headerRowDxfId="1242" dataDxfId="1241">
  <tableColumns count="7">
    <tableColumn id="1" xr3:uid="{00000000-0010-0000-9F00-000001000000}" name="Group" dataDxfId="1249"/>
    <tableColumn id="2" xr3:uid="{00000000-0010-0000-9F00-000002000000}" name="2010-2012" dataDxfId="1248"/>
    <tableColumn id="3" xr3:uid="{00000000-0010-0000-9F00-000003000000}" name="2012-2014" dataDxfId="1247"/>
    <tableColumn id="4" xr3:uid="{00000000-0010-0000-9F00-000004000000}" name="2014-2016" dataDxfId="1246"/>
    <tableColumn id="5" xr3:uid="{00000000-0010-0000-9F00-000005000000}" name="2016-2018" dataDxfId="1245"/>
    <tableColumn id="6" xr3:uid="{00000000-0010-0000-9F00-000006000000}" name="2018-2020" dataDxfId="1244"/>
    <tableColumn id="7" xr3:uid="{00000000-0010-0000-9F00-000007000000}" name="2020-2022" dataDxfId="1243"/>
  </tableColumns>
  <tableStyleInfo name="TableStyleLight1" showFirstColumn="1" showLastColumn="0" showRowStripes="0"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5" xr:uid="{00000000-000C-0000-FFFF-FFFFA0000000}" name="table51a" displayName="table51a" ref="A7:G10" totalsRowShown="0" headerRowDxfId="1233" dataDxfId="1232">
  <tableColumns count="7">
    <tableColumn id="1" xr3:uid="{00000000-0010-0000-A000-000001000000}" name="Group" dataDxfId="1240"/>
    <tableColumn id="2" xr3:uid="{00000000-0010-0000-A000-000002000000}" name="2010-2012" dataDxfId="1239"/>
    <tableColumn id="3" xr3:uid="{00000000-0010-0000-A000-000003000000}" name="2012-2014" dataDxfId="1238"/>
    <tableColumn id="4" xr3:uid="{00000000-0010-0000-A000-000004000000}" name="2014-2016" dataDxfId="1237"/>
    <tableColumn id="5" xr3:uid="{00000000-0010-0000-A000-000005000000}" name="2016-2018" dataDxfId="1236"/>
    <tableColumn id="6" xr3:uid="{00000000-0010-0000-A000-000006000000}" name="2018-2020" dataDxfId="1235"/>
    <tableColumn id="7" xr3:uid="{00000000-0010-0000-A000-000007000000}" name="2020-2022" dataDxfId="1234"/>
  </tableColumns>
  <tableStyleInfo name="TableStyleLight1" showFirstColumn="1" showLastColumn="0" showRowStripes="0"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6" xr:uid="{00000000-000C-0000-FFFF-FFFFA1000000}" name="table51b" displayName="table51b" ref="A12:G15" totalsRowShown="0" headerRowDxfId="1224" dataDxfId="1223">
  <tableColumns count="7">
    <tableColumn id="1" xr3:uid="{00000000-0010-0000-A100-000001000000}" name="Group" dataDxfId="1231"/>
    <tableColumn id="2" xr3:uid="{00000000-0010-0000-A100-000002000000}" name="2010-2012" dataDxfId="1230"/>
    <tableColumn id="3" xr3:uid="{00000000-0010-0000-A100-000003000000}" name="2012-2014" dataDxfId="1229"/>
    <tableColumn id="4" xr3:uid="{00000000-0010-0000-A100-000004000000}" name="2014-2016" dataDxfId="1228"/>
    <tableColumn id="5" xr3:uid="{00000000-0010-0000-A100-000005000000}" name="2016-2018" dataDxfId="1227"/>
    <tableColumn id="6" xr3:uid="{00000000-0010-0000-A100-000006000000}" name="2018-2020" dataDxfId="1226"/>
    <tableColumn id="7" xr3:uid="{00000000-0010-0000-A100-000007000000}" name="2020-2022" dataDxfId="1225"/>
  </tableColumns>
  <tableStyleInfo name="TableStyleLight1" showFirstColumn="1" showLastColumn="0" showRowStripes="0"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7" xr:uid="{00000000-000C-0000-FFFF-FFFFA2000000}" name="table51c" displayName="table51c" ref="A17:G20" totalsRowShown="0" headerRowDxfId="1215" dataDxfId="1214">
  <tableColumns count="7">
    <tableColumn id="1" xr3:uid="{00000000-0010-0000-A200-000001000000}" name="Group" dataDxfId="1222"/>
    <tableColumn id="2" xr3:uid="{00000000-0010-0000-A200-000002000000}" name="2010-2012" dataDxfId="1221"/>
    <tableColumn id="3" xr3:uid="{00000000-0010-0000-A200-000003000000}" name="2012-2014" dataDxfId="1220"/>
    <tableColumn id="4" xr3:uid="{00000000-0010-0000-A200-000004000000}" name="2014-2016" dataDxfId="1219"/>
    <tableColumn id="5" xr3:uid="{00000000-0010-0000-A200-000005000000}" name="2016-2018" dataDxfId="1218"/>
    <tableColumn id="6" xr3:uid="{00000000-0010-0000-A200-000006000000}" name="2018-2020" dataDxfId="1217"/>
    <tableColumn id="7" xr3:uid="{00000000-0010-0000-A200-000007000000}" name="2020-2022" dataDxfId="1216"/>
  </tableColumns>
  <tableStyleInfo name="TableStyleLight1" showFirstColumn="1" showLastColumn="0" showRowStripes="0"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8" xr:uid="{00000000-000C-0000-FFFF-FFFFA3000000}" name="table51d" displayName="table51d" ref="A22:G25" totalsRowShown="0" headerRowDxfId="1206" dataDxfId="1205">
  <tableColumns count="7">
    <tableColumn id="1" xr3:uid="{00000000-0010-0000-A300-000001000000}" name="Group" dataDxfId="1213"/>
    <tableColumn id="2" xr3:uid="{00000000-0010-0000-A300-000002000000}" name="2010-2012" dataDxfId="1212"/>
    <tableColumn id="3" xr3:uid="{00000000-0010-0000-A300-000003000000}" name="2012-2014" dataDxfId="1211"/>
    <tableColumn id="4" xr3:uid="{00000000-0010-0000-A300-000004000000}" name="2014-2016" dataDxfId="1210"/>
    <tableColumn id="5" xr3:uid="{00000000-0010-0000-A300-000005000000}" name="2016-2018" dataDxfId="1209"/>
    <tableColumn id="6" xr3:uid="{00000000-0010-0000-A300-000006000000}" name="2018-2020" dataDxfId="1208"/>
    <tableColumn id="7" xr3:uid="{00000000-0010-0000-A300-000007000000}" name="2020-2022" dataDxfId="1207"/>
  </tableColumns>
  <tableStyleInfo name="TableStyleLight1" showFirstColumn="1" showLastColumn="0" showRowStripes="0"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9" xr:uid="{00000000-000C-0000-FFFF-FFFFA4000000}" name="table52a" displayName="table52a" ref="A7:G11" totalsRowShown="0" headerRowDxfId="1197" dataDxfId="1196">
  <tableColumns count="7">
    <tableColumn id="1" xr3:uid="{00000000-0010-0000-A400-000001000000}" name="Group" dataDxfId="1204"/>
    <tableColumn id="2" xr3:uid="{00000000-0010-0000-A400-000002000000}" name="2010-2012" dataDxfId="1203"/>
    <tableColumn id="3" xr3:uid="{00000000-0010-0000-A400-000003000000}" name="2012-2014" dataDxfId="1202"/>
    <tableColumn id="4" xr3:uid="{00000000-0010-0000-A400-000004000000}" name="2014-2016" dataDxfId="1201"/>
    <tableColumn id="5" xr3:uid="{00000000-0010-0000-A400-000005000000}" name="2016-2018" dataDxfId="1200"/>
    <tableColumn id="6" xr3:uid="{00000000-0010-0000-A400-000006000000}" name="2018-2020" dataDxfId="1199"/>
    <tableColumn id="7" xr3:uid="{00000000-0010-0000-A400-000007000000}" name="2020-2022" dataDxfId="1198"/>
  </tableColumns>
  <tableStyleInfo name="TableStyleLight1" showFirstColumn="1" showLastColumn="0" showRowStripes="0"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0" xr:uid="{00000000-000C-0000-FFFF-FFFFA5000000}" name="table52b" displayName="table52b" ref="A13:G17" totalsRowShown="0" headerRowDxfId="1188" dataDxfId="1187">
  <tableColumns count="7">
    <tableColumn id="1" xr3:uid="{00000000-0010-0000-A500-000001000000}" name="Group" dataDxfId="1195"/>
    <tableColumn id="2" xr3:uid="{00000000-0010-0000-A500-000002000000}" name="2010-2012" dataDxfId="1194"/>
    <tableColumn id="3" xr3:uid="{00000000-0010-0000-A500-000003000000}" name="2012-2014" dataDxfId="1193"/>
    <tableColumn id="4" xr3:uid="{00000000-0010-0000-A500-000004000000}" name="2014-2016" dataDxfId="1192"/>
    <tableColumn id="5" xr3:uid="{00000000-0010-0000-A500-000005000000}" name="2016-2018" dataDxfId="1191"/>
    <tableColumn id="6" xr3:uid="{00000000-0010-0000-A500-000006000000}" name="2018-2020" dataDxfId="1190"/>
    <tableColumn id="7" xr3:uid="{00000000-0010-0000-A500-000007000000}" name="2020-2022" dataDxfId="1189"/>
  </tableColumns>
  <tableStyleInfo name="TableStyleLight1" showFirstColumn="1" showLastColumn="0" showRowStripes="0"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1" xr:uid="{00000000-000C-0000-FFFF-FFFFA6000000}" name="table52c" displayName="table52c" ref="A19:G23" totalsRowShown="0" headerRowDxfId="1179" dataDxfId="1178">
  <tableColumns count="7">
    <tableColumn id="1" xr3:uid="{00000000-0010-0000-A600-000001000000}" name="Group" dataDxfId="1186"/>
    <tableColumn id="2" xr3:uid="{00000000-0010-0000-A600-000002000000}" name="2010-2012" dataDxfId="1185"/>
    <tableColumn id="3" xr3:uid="{00000000-0010-0000-A600-000003000000}" name="2012-2014" dataDxfId="1184"/>
    <tableColumn id="4" xr3:uid="{00000000-0010-0000-A600-000004000000}" name="2014-2016" dataDxfId="1183"/>
    <tableColumn id="5" xr3:uid="{00000000-0010-0000-A600-000005000000}" name="2016-2018" dataDxfId="1182"/>
    <tableColumn id="6" xr3:uid="{00000000-0010-0000-A600-000006000000}" name="2018-2020" dataDxfId="1181"/>
    <tableColumn id="7" xr3:uid="{00000000-0010-0000-A600-000007000000}" name="2020-2022" dataDxfId="1180"/>
  </tableColumns>
  <tableStyleInfo name="TableStyleLight1" showFirstColumn="1" showLastColumn="0" showRowStripes="0"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2" xr:uid="{00000000-000C-0000-FFFF-FFFFA7000000}" name="table52d" displayName="table52d" ref="A25:G29" totalsRowShown="0" headerRowDxfId="1170" dataDxfId="1169">
  <tableColumns count="7">
    <tableColumn id="1" xr3:uid="{00000000-0010-0000-A700-000001000000}" name="Group" dataDxfId="1177"/>
    <tableColumn id="2" xr3:uid="{00000000-0010-0000-A700-000002000000}" name="2010-2012" dataDxfId="1176"/>
    <tableColumn id="3" xr3:uid="{00000000-0010-0000-A700-000003000000}" name="2012-2014" dataDxfId="1175"/>
    <tableColumn id="4" xr3:uid="{00000000-0010-0000-A700-000004000000}" name="2014-2016" dataDxfId="1174"/>
    <tableColumn id="5" xr3:uid="{00000000-0010-0000-A700-000005000000}" name="2016-2018" dataDxfId="1173"/>
    <tableColumn id="6" xr3:uid="{00000000-0010-0000-A700-000006000000}" name="2018-2020" dataDxfId="1172"/>
    <tableColumn id="7" xr3:uid="{00000000-0010-0000-A700-000007000000}" name="2020-2022" dataDxfId="1171"/>
  </tableColumns>
  <tableStyleInfo name="TableStyleLight1" showFirstColumn="1" showLastColumn="0" showRowStripes="0"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3" xr:uid="{00000000-000C-0000-FFFF-FFFFA8000000}" name="table53a" displayName="table53a" ref="A7:G10" totalsRowShown="0" headerRowDxfId="1161" dataDxfId="1160">
  <tableColumns count="7">
    <tableColumn id="1" xr3:uid="{00000000-0010-0000-A800-000001000000}" name="Group" dataDxfId="1168"/>
    <tableColumn id="2" xr3:uid="{00000000-0010-0000-A800-000002000000}" name="2010-2012" dataDxfId="1167"/>
    <tableColumn id="3" xr3:uid="{00000000-0010-0000-A800-000003000000}" name="2012-2014" dataDxfId="1166"/>
    <tableColumn id="4" xr3:uid="{00000000-0010-0000-A800-000004000000}" name="2014-2016" dataDxfId="1165"/>
    <tableColumn id="5" xr3:uid="{00000000-0010-0000-A800-000005000000}" name="2016-2018" dataDxfId="1164"/>
    <tableColumn id="6" xr3:uid="{00000000-0010-0000-A800-000006000000}" name="2018-2020" dataDxfId="1163"/>
    <tableColumn id="7" xr3:uid="{00000000-0010-0000-A800-000007000000}" name="2020-2022" dataDxfId="1162"/>
  </tableColumns>
  <tableStyleInfo name="TableStyleLight1" showFirstColumn="1" showLastColumn="0" showRowStripes="0"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4" xr:uid="{00000000-000C-0000-FFFF-FFFFA9000000}" name="table53b" displayName="table53b" ref="A12:G15" totalsRowShown="0" headerRowDxfId="1152" dataDxfId="1151">
  <tableColumns count="7">
    <tableColumn id="1" xr3:uid="{00000000-0010-0000-A900-000001000000}" name="Group" dataDxfId="1159"/>
    <tableColumn id="2" xr3:uid="{00000000-0010-0000-A900-000002000000}" name="2010-2012" dataDxfId="1158"/>
    <tableColumn id="3" xr3:uid="{00000000-0010-0000-A900-000003000000}" name="2012-2014" dataDxfId="1157"/>
    <tableColumn id="4" xr3:uid="{00000000-0010-0000-A900-000004000000}" name="2014-2016" dataDxfId="1156"/>
    <tableColumn id="5" xr3:uid="{00000000-0010-0000-A900-000005000000}" name="2016-2018" dataDxfId="1155"/>
    <tableColumn id="6" xr3:uid="{00000000-0010-0000-A900-000006000000}" name="2018-2020" dataDxfId="1154"/>
    <tableColumn id="7" xr3:uid="{00000000-0010-0000-A900-000007000000}" name="2020-2022" dataDxfId="1153"/>
  </tableColumns>
  <tableStyleInfo name="TableStyleLight1" showFirstColumn="1" showLastColumn="0" showRowStripes="0"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5" xr:uid="{00000000-000C-0000-FFFF-FFFFAA000000}" name="table53c" displayName="table53c" ref="A17:G20" totalsRowShown="0" headerRowDxfId="1143" dataDxfId="1142">
  <tableColumns count="7">
    <tableColumn id="1" xr3:uid="{00000000-0010-0000-AA00-000001000000}" name="Group" dataDxfId="1150"/>
    <tableColumn id="2" xr3:uid="{00000000-0010-0000-AA00-000002000000}" name="2010-2012" dataDxfId="1149"/>
    <tableColumn id="3" xr3:uid="{00000000-0010-0000-AA00-000003000000}" name="2012-2014" dataDxfId="1148"/>
    <tableColumn id="4" xr3:uid="{00000000-0010-0000-AA00-000004000000}" name="2014-2016" dataDxfId="1147"/>
    <tableColumn id="5" xr3:uid="{00000000-0010-0000-AA00-000005000000}" name="2016-2018" dataDxfId="1146"/>
    <tableColumn id="6" xr3:uid="{00000000-0010-0000-AA00-000006000000}" name="2018-2020" dataDxfId="1145"/>
    <tableColumn id="7" xr3:uid="{00000000-0010-0000-AA00-000007000000}" name="2020-2022" dataDxfId="1144"/>
  </tableColumns>
  <tableStyleInfo name="TableStyleLight1" showFirstColumn="1" showLastColumn="0" showRowStripes="0"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6" xr:uid="{00000000-000C-0000-FFFF-FFFFAB000000}" name="table53d" displayName="table53d" ref="A22:G25" totalsRowShown="0" headerRowDxfId="1134" dataDxfId="1133">
  <tableColumns count="7">
    <tableColumn id="1" xr3:uid="{00000000-0010-0000-AB00-000001000000}" name="Group" dataDxfId="1141"/>
    <tableColumn id="2" xr3:uid="{00000000-0010-0000-AB00-000002000000}" name="2010-2012" dataDxfId="1140"/>
    <tableColumn id="3" xr3:uid="{00000000-0010-0000-AB00-000003000000}" name="2012-2014" dataDxfId="1139"/>
    <tableColumn id="4" xr3:uid="{00000000-0010-0000-AB00-000004000000}" name="2014-2016" dataDxfId="1138"/>
    <tableColumn id="5" xr3:uid="{00000000-0010-0000-AB00-000005000000}" name="2016-2018" dataDxfId="1137"/>
    <tableColumn id="6" xr3:uid="{00000000-0010-0000-AB00-000006000000}" name="2018-2020" dataDxfId="1136"/>
    <tableColumn id="7" xr3:uid="{00000000-0010-0000-AB00-000007000000}" name="2020-2022" dataDxfId="1135"/>
  </tableColumns>
  <tableStyleInfo name="TableStyleLight1" showFirstColumn="1" showLastColumn="0" showRowStripes="0"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7" xr:uid="{00000000-000C-0000-FFFF-FFFFAC000000}" name="table54a" displayName="table54a" ref="A7:G10" totalsRowShown="0" headerRowDxfId="1125" dataDxfId="1124">
  <tableColumns count="7">
    <tableColumn id="1" xr3:uid="{00000000-0010-0000-AC00-000001000000}" name="Group" dataDxfId="1132"/>
    <tableColumn id="2" xr3:uid="{00000000-0010-0000-AC00-000002000000}" name="2010-2012" dataDxfId="1131"/>
    <tableColumn id="3" xr3:uid="{00000000-0010-0000-AC00-000003000000}" name="2012-2014" dataDxfId="1130"/>
    <tableColumn id="4" xr3:uid="{00000000-0010-0000-AC00-000004000000}" name="2014-2016" dataDxfId="1129"/>
    <tableColumn id="5" xr3:uid="{00000000-0010-0000-AC00-000005000000}" name="2016-2018" dataDxfId="1128"/>
    <tableColumn id="6" xr3:uid="{00000000-0010-0000-AC00-000006000000}" name="2018-2020" dataDxfId="1127"/>
    <tableColumn id="7" xr3:uid="{00000000-0010-0000-AC00-000007000000}" name="2020-2022" dataDxfId="1126"/>
  </tableColumns>
  <tableStyleInfo name="TableStyleLight1" showFirstColumn="1" showLastColumn="0" showRowStripes="0"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8" xr:uid="{00000000-000C-0000-FFFF-FFFFAD000000}" name="table54b" displayName="table54b" ref="A12:G15" totalsRowShown="0" headerRowDxfId="1116" dataDxfId="1115">
  <tableColumns count="7">
    <tableColumn id="1" xr3:uid="{00000000-0010-0000-AD00-000001000000}" name="Group" dataDxfId="1123"/>
    <tableColumn id="2" xr3:uid="{00000000-0010-0000-AD00-000002000000}" name="2010-2012" dataDxfId="1122"/>
    <tableColumn id="3" xr3:uid="{00000000-0010-0000-AD00-000003000000}" name="2012-2014" dataDxfId="1121"/>
    <tableColumn id="4" xr3:uid="{00000000-0010-0000-AD00-000004000000}" name="2014-2016" dataDxfId="1120"/>
    <tableColumn id="5" xr3:uid="{00000000-0010-0000-AD00-000005000000}" name="2016-2018" dataDxfId="1119"/>
    <tableColumn id="6" xr3:uid="{00000000-0010-0000-AD00-000006000000}" name="2018-2020" dataDxfId="1118"/>
    <tableColumn id="7" xr3:uid="{00000000-0010-0000-AD00-000007000000}" name="2020-2022" dataDxfId="1117"/>
  </tableColumns>
  <tableStyleInfo name="TableStyleLight1" showFirstColumn="1" showLastColumn="0" showRowStripes="0"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9" xr:uid="{00000000-000C-0000-FFFF-FFFFAE000000}" name="table54c" displayName="table54c" ref="A17:G20" totalsRowShown="0" headerRowDxfId="1107" dataDxfId="1106">
  <tableColumns count="7">
    <tableColumn id="1" xr3:uid="{00000000-0010-0000-AE00-000001000000}" name="Group" dataDxfId="1114"/>
    <tableColumn id="2" xr3:uid="{00000000-0010-0000-AE00-000002000000}" name="2010-2012" dataDxfId="1113"/>
    <tableColumn id="3" xr3:uid="{00000000-0010-0000-AE00-000003000000}" name="2012-2014" dataDxfId="1112"/>
    <tableColumn id="4" xr3:uid="{00000000-0010-0000-AE00-000004000000}" name="2014-2016" dataDxfId="1111"/>
    <tableColumn id="5" xr3:uid="{00000000-0010-0000-AE00-000005000000}" name="2016-2018" dataDxfId="1110"/>
    <tableColumn id="6" xr3:uid="{00000000-0010-0000-AE00-000006000000}" name="2018-2020" dataDxfId="1109"/>
    <tableColumn id="7" xr3:uid="{00000000-0010-0000-AE00-000007000000}" name="2020-2022" dataDxfId="1108"/>
  </tableColumns>
  <tableStyleInfo name="TableStyleLight1" showFirstColumn="1" showLastColumn="0" showRowStripes="0"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0" xr:uid="{00000000-000C-0000-FFFF-FFFFAF000000}" name="table54d" displayName="table54d" ref="A22:G25" totalsRowShown="0" headerRowDxfId="1098" dataDxfId="1097">
  <tableColumns count="7">
    <tableColumn id="1" xr3:uid="{00000000-0010-0000-AF00-000001000000}" name="Group" dataDxfId="1105"/>
    <tableColumn id="2" xr3:uid="{00000000-0010-0000-AF00-000002000000}" name="2010-2012" dataDxfId="1104"/>
    <tableColumn id="3" xr3:uid="{00000000-0010-0000-AF00-000003000000}" name="2012-2014" dataDxfId="1103"/>
    <tableColumn id="4" xr3:uid="{00000000-0010-0000-AF00-000004000000}" name="2014-2016" dataDxfId="1102"/>
    <tableColumn id="5" xr3:uid="{00000000-0010-0000-AF00-000005000000}" name="2016-2018" dataDxfId="1101"/>
    <tableColumn id="6" xr3:uid="{00000000-0010-0000-AF00-000006000000}" name="2018-2020" dataDxfId="1100"/>
    <tableColumn id="7" xr3:uid="{00000000-0010-0000-AF00-000007000000}" name="2020-2022" dataDxfId="1099"/>
  </tableColumns>
  <tableStyleInfo name="TableStyleLight1" showFirstColumn="1" showLastColumn="0" showRowStripes="0"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1" xr:uid="{00000000-000C-0000-FFFF-FFFFB0000000}" name="table55a" displayName="table55a" ref="A7:K8" totalsRowShown="0" headerRowDxfId="1085" dataDxfId="1084">
  <tableColumns count="11">
    <tableColumn id="1" xr3:uid="{00000000-0010-0000-B000-000001000000}" name="Period" dataDxfId="1096"/>
    <tableColumn id="2" xr3:uid="{00000000-0010-0000-B000-000002000000}" name="1" dataDxfId="1095"/>
    <tableColumn id="3" xr3:uid="{00000000-0010-0000-B000-000003000000}" name="2" dataDxfId="1094"/>
    <tableColumn id="4" xr3:uid="{00000000-0010-0000-B000-000004000000}" name="3" dataDxfId="1093"/>
    <tableColumn id="5" xr3:uid="{00000000-0010-0000-B000-000005000000}" name="4" dataDxfId="1092"/>
    <tableColumn id="6" xr3:uid="{00000000-0010-0000-B000-000006000000}" name="5" dataDxfId="1091"/>
    <tableColumn id="7" xr3:uid="{00000000-0010-0000-B000-000007000000}" name="6" dataDxfId="1090"/>
    <tableColumn id="8" xr3:uid="{00000000-0010-0000-B000-000008000000}" name="7" dataDxfId="1089"/>
    <tableColumn id="9" xr3:uid="{00000000-0010-0000-B000-000009000000}" name="8" dataDxfId="1088"/>
    <tableColumn id="10" xr3:uid="{00000000-0010-0000-B000-00000A000000}" name="9" dataDxfId="1087"/>
    <tableColumn id="11" xr3:uid="{00000000-0010-0000-B000-00000B000000}" name="10" dataDxfId="1086"/>
  </tableColumns>
  <tableStyleInfo name="TableStyleLight1" showFirstColumn="1" showLastColumn="0" showRowStripes="0"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2" xr:uid="{00000000-000C-0000-FFFF-FFFFB1000000}" name="table55b" displayName="table55b" ref="A10:K11" totalsRowShown="0" headerRowDxfId="1072" dataDxfId="1071">
  <tableColumns count="11">
    <tableColumn id="1" xr3:uid="{00000000-0010-0000-B100-000001000000}" name="Period" dataDxfId="1083"/>
    <tableColumn id="2" xr3:uid="{00000000-0010-0000-B100-000002000000}" name="1" dataDxfId="1082"/>
    <tableColumn id="3" xr3:uid="{00000000-0010-0000-B100-000003000000}" name="2" dataDxfId="1081"/>
    <tableColumn id="4" xr3:uid="{00000000-0010-0000-B100-000004000000}" name="3" dataDxfId="1080"/>
    <tableColumn id="5" xr3:uid="{00000000-0010-0000-B100-000005000000}" name="4" dataDxfId="1079"/>
    <tableColumn id="6" xr3:uid="{00000000-0010-0000-B100-000006000000}" name="5" dataDxfId="1078"/>
    <tableColumn id="7" xr3:uid="{00000000-0010-0000-B100-000007000000}" name="6" dataDxfId="1077"/>
    <tableColumn id="8" xr3:uid="{00000000-0010-0000-B100-000008000000}" name="7" dataDxfId="1076"/>
    <tableColumn id="9" xr3:uid="{00000000-0010-0000-B100-000009000000}" name="8" dataDxfId="1075"/>
    <tableColumn id="10" xr3:uid="{00000000-0010-0000-B100-00000A000000}" name="9" dataDxfId="1074"/>
    <tableColumn id="11" xr3:uid="{00000000-0010-0000-B100-00000B000000}" name="10" dataDxfId="1073"/>
  </tableColumns>
  <tableStyleInfo name="TableStyleLight1" showFirstColumn="1" showLastColumn="0" showRowStripes="0"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3" xr:uid="{00000000-000C-0000-FFFF-FFFFB2000000}" name="table55c" displayName="table55c" ref="A13:K14" totalsRowShown="0" headerRowDxfId="1059" dataDxfId="1058">
  <tableColumns count="11">
    <tableColumn id="1" xr3:uid="{00000000-0010-0000-B200-000001000000}" name="Period" dataDxfId="1070"/>
    <tableColumn id="2" xr3:uid="{00000000-0010-0000-B200-000002000000}" name="1" dataDxfId="1069"/>
    <tableColumn id="3" xr3:uid="{00000000-0010-0000-B200-000003000000}" name="2" dataDxfId="1068"/>
    <tableColumn id="4" xr3:uid="{00000000-0010-0000-B200-000004000000}" name="3" dataDxfId="1067"/>
    <tableColumn id="5" xr3:uid="{00000000-0010-0000-B200-000005000000}" name="4" dataDxfId="1066"/>
    <tableColumn id="6" xr3:uid="{00000000-0010-0000-B200-000006000000}" name="5" dataDxfId="1065"/>
    <tableColumn id="7" xr3:uid="{00000000-0010-0000-B200-000007000000}" name="6" dataDxfId="1064"/>
    <tableColumn id="8" xr3:uid="{00000000-0010-0000-B200-000008000000}" name="7" dataDxfId="1063"/>
    <tableColumn id="9" xr3:uid="{00000000-0010-0000-B200-000009000000}" name="8" dataDxfId="1062"/>
    <tableColumn id="10" xr3:uid="{00000000-0010-0000-B200-00000A000000}" name="9" dataDxfId="1061"/>
    <tableColumn id="11" xr3:uid="{00000000-0010-0000-B200-00000B000000}" name="10" dataDxfId="1060"/>
  </tableColumns>
  <tableStyleInfo name="TableStyleLight1" showFirstColumn="1" showLastColumn="0" showRowStripes="0"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4" xr:uid="{00000000-000C-0000-FFFF-FFFFB3000000}" name="table56a" displayName="table56a" ref="A7:I18" totalsRowShown="0" headerRowDxfId="1048" dataDxfId="1047">
  <tableColumns count="9">
    <tableColumn id="1" xr3:uid="{00000000-0010-0000-B300-000001000000}" name="Decile" dataDxfId="1057"/>
    <tableColumn id="2" xr3:uid="{00000000-0010-0000-B300-000002000000}" name="2006-2008" dataDxfId="1056"/>
    <tableColumn id="3" xr3:uid="{00000000-0010-0000-B300-000003000000}" name="2008-2010" dataDxfId="1055"/>
    <tableColumn id="4" xr3:uid="{00000000-0010-0000-B300-000004000000}" name="2010-2012" dataDxfId="1054"/>
    <tableColumn id="5" xr3:uid="{00000000-0010-0000-B300-000005000000}" name="2012-2014" dataDxfId="1053"/>
    <tableColumn id="6" xr3:uid="{00000000-0010-0000-B300-000006000000}" name="2014-2016" dataDxfId="1052"/>
    <tableColumn id="7" xr3:uid="{00000000-0010-0000-B300-000007000000}" name="2016-2018" dataDxfId="1051"/>
    <tableColumn id="8" xr3:uid="{00000000-0010-0000-B300-000008000000}" name="2018-2020" dataDxfId="1050"/>
    <tableColumn id="9" xr3:uid="{00000000-0010-0000-B300-000009000000}" name="2020-2022" dataDxfId="1049"/>
  </tableColumns>
  <tableStyleInfo name="TableStyleLight1" showFirstColumn="1" showLastColumn="0" showRowStripes="0"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5" xr:uid="{00000000-000C-0000-FFFF-FFFFB4000000}" name="table56b" displayName="table56b" ref="A20:I31" totalsRowShown="0" headerRowDxfId="1037" dataDxfId="1036">
  <tableColumns count="9">
    <tableColumn id="1" xr3:uid="{00000000-0010-0000-B400-000001000000}" name="Decile" dataDxfId="1046"/>
    <tableColumn id="2" xr3:uid="{00000000-0010-0000-B400-000002000000}" name="2006-2008" dataDxfId="1045"/>
    <tableColumn id="3" xr3:uid="{00000000-0010-0000-B400-000003000000}" name="2008-2010" dataDxfId="1044"/>
    <tableColumn id="4" xr3:uid="{00000000-0010-0000-B400-000004000000}" name="2010-2012" dataDxfId="1043"/>
    <tableColumn id="5" xr3:uid="{00000000-0010-0000-B400-000005000000}" name="2012-2014" dataDxfId="1042"/>
    <tableColumn id="6" xr3:uid="{00000000-0010-0000-B400-000006000000}" name="2014-2016" dataDxfId="1041"/>
    <tableColumn id="7" xr3:uid="{00000000-0010-0000-B400-000007000000}" name="2016-2018" dataDxfId="1040"/>
    <tableColumn id="8" xr3:uid="{00000000-0010-0000-B400-000008000000}" name="2018-2020" dataDxfId="1039"/>
    <tableColumn id="9" xr3:uid="{00000000-0010-0000-B400-000009000000}" name="2020-2022" dataDxfId="1038"/>
  </tableColumns>
  <tableStyleInfo name="TableStyleLight1" showFirstColumn="1" showLastColumn="0" showRowStripes="0"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6" xr:uid="{00000000-000C-0000-FFFF-FFFFB5000000}" name="table56c" displayName="table56c" ref="A33:I44" totalsRowShown="0" headerRowDxfId="1026" dataDxfId="1025">
  <tableColumns count="9">
    <tableColumn id="1" xr3:uid="{00000000-0010-0000-B500-000001000000}" name="Decile" dataDxfId="1035"/>
    <tableColumn id="2" xr3:uid="{00000000-0010-0000-B500-000002000000}" name="2006-2008" dataDxfId="1034"/>
    <tableColumn id="3" xr3:uid="{00000000-0010-0000-B500-000003000000}" name="2008-2010" dataDxfId="1033"/>
    <tableColumn id="4" xr3:uid="{00000000-0010-0000-B500-000004000000}" name="2010-2012" dataDxfId="1032"/>
    <tableColumn id="5" xr3:uid="{00000000-0010-0000-B500-000005000000}" name="2012-2014" dataDxfId="1031"/>
    <tableColumn id="6" xr3:uid="{00000000-0010-0000-B500-000006000000}" name="2014-2016" dataDxfId="1030"/>
    <tableColumn id="7" xr3:uid="{00000000-0010-0000-B500-000007000000}" name="2016-2018" dataDxfId="1029"/>
    <tableColumn id="8" xr3:uid="{00000000-0010-0000-B500-000008000000}" name="2018-2020" dataDxfId="1028"/>
    <tableColumn id="9" xr3:uid="{00000000-0010-0000-B500-000009000000}" name="2020-2022" dataDxfId="1027"/>
  </tableColumns>
  <tableStyleInfo name="TableStyleLight1" showFirstColumn="1" showLastColumn="0" showRowStripes="0"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7" xr:uid="{00000000-000C-0000-FFFF-FFFFB6000000}" name="table57a" displayName="table57a" ref="A7:I15" totalsRowShown="0" headerRowDxfId="1015" dataDxfId="1014">
  <tableColumns count="9">
    <tableColumn id="1" xr3:uid="{00000000-0010-0000-B600-000001000000}" name="Group" dataDxfId="1024"/>
    <tableColumn id="2" xr3:uid="{00000000-0010-0000-B600-000002000000}" name="2006-2008" dataDxfId="1023"/>
    <tableColumn id="3" xr3:uid="{00000000-0010-0000-B600-000003000000}" name="2008-2010" dataDxfId="1022"/>
    <tableColumn id="4" xr3:uid="{00000000-0010-0000-B600-000004000000}" name="2010-2012" dataDxfId="1021"/>
    <tableColumn id="5" xr3:uid="{00000000-0010-0000-B600-000005000000}" name="2012-2014" dataDxfId="1020"/>
    <tableColumn id="6" xr3:uid="{00000000-0010-0000-B600-000006000000}" name="2014-2016" dataDxfId="1019"/>
    <tableColumn id="7" xr3:uid="{00000000-0010-0000-B600-000007000000}" name="2016-2018" dataDxfId="1018"/>
    <tableColumn id="8" xr3:uid="{00000000-0010-0000-B600-000008000000}" name="2018-2020" dataDxfId="1017"/>
    <tableColumn id="9" xr3:uid="{00000000-0010-0000-B600-000009000000}" name="2020-2022" dataDxfId="1016"/>
  </tableColumns>
  <tableStyleInfo name="TableStyleLight1" showFirstColumn="1" showLastColumn="0" showRowStripes="0"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8" xr:uid="{00000000-000C-0000-FFFF-FFFFB7000000}" name="table57b" displayName="table57b" ref="A17:I25" totalsRowShown="0" headerRowDxfId="1004" dataDxfId="1003">
  <tableColumns count="9">
    <tableColumn id="1" xr3:uid="{00000000-0010-0000-B700-000001000000}" name="Group" dataDxfId="1013"/>
    <tableColumn id="2" xr3:uid="{00000000-0010-0000-B700-000002000000}" name="2006-2008" dataDxfId="1012"/>
    <tableColumn id="3" xr3:uid="{00000000-0010-0000-B700-000003000000}" name="2008-2010" dataDxfId="1011"/>
    <tableColumn id="4" xr3:uid="{00000000-0010-0000-B700-000004000000}" name="2010-2012" dataDxfId="1010"/>
    <tableColumn id="5" xr3:uid="{00000000-0010-0000-B700-000005000000}" name="2012-2014" dataDxfId="1009"/>
    <tableColumn id="6" xr3:uid="{00000000-0010-0000-B700-000006000000}" name="2014-2016" dataDxfId="1008"/>
    <tableColumn id="7" xr3:uid="{00000000-0010-0000-B700-000007000000}" name="2016-2018" dataDxfId="1007"/>
    <tableColumn id="8" xr3:uid="{00000000-0010-0000-B700-000008000000}" name="2018-2020" dataDxfId="1006"/>
    <tableColumn id="9" xr3:uid="{00000000-0010-0000-B700-000009000000}" name="2020-2022" dataDxfId="1005"/>
  </tableColumns>
  <tableStyleInfo name="TableStyleLight1" showFirstColumn="1" showLastColumn="0" showRowStripes="0"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9" xr:uid="{00000000-000C-0000-FFFF-FFFFB8000000}" name="table57c" displayName="table57c" ref="A27:I35" totalsRowShown="0" headerRowDxfId="993" dataDxfId="992">
  <tableColumns count="9">
    <tableColumn id="1" xr3:uid="{00000000-0010-0000-B800-000001000000}" name="Group" dataDxfId="1002"/>
    <tableColumn id="2" xr3:uid="{00000000-0010-0000-B800-000002000000}" name="2006-2008" dataDxfId="1001"/>
    <tableColumn id="3" xr3:uid="{00000000-0010-0000-B800-000003000000}" name="2008-2010" dataDxfId="1000"/>
    <tableColumn id="4" xr3:uid="{00000000-0010-0000-B800-000004000000}" name="2010-2012" dataDxfId="999"/>
    <tableColumn id="5" xr3:uid="{00000000-0010-0000-B800-000005000000}" name="2012-2014" dataDxfId="998"/>
    <tableColumn id="6" xr3:uid="{00000000-0010-0000-B800-000006000000}" name="2014-2016" dataDxfId="997"/>
    <tableColumn id="7" xr3:uid="{00000000-0010-0000-B800-000007000000}" name="2016-2018" dataDxfId="996"/>
    <tableColumn id="8" xr3:uid="{00000000-0010-0000-B800-000008000000}" name="2018-2020" dataDxfId="995"/>
    <tableColumn id="9" xr3:uid="{00000000-0010-0000-B800-000009000000}" name="2020-2022" dataDxfId="994"/>
  </tableColumns>
  <tableStyleInfo name="TableStyleLight1" showFirstColumn="1" showLastColumn="0" showRowStripes="0"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0" xr:uid="{00000000-000C-0000-FFFF-FFFFB9000000}" name="table57d" displayName="table57d" ref="A37:I45" totalsRowShown="0" headerRowDxfId="982" dataDxfId="981">
  <tableColumns count="9">
    <tableColumn id="1" xr3:uid="{00000000-0010-0000-B900-000001000000}" name="Group" dataDxfId="991"/>
    <tableColumn id="2" xr3:uid="{00000000-0010-0000-B900-000002000000}" name="2006-2008" dataDxfId="990"/>
    <tableColumn id="3" xr3:uid="{00000000-0010-0000-B900-000003000000}" name="2008-2010" dataDxfId="989"/>
    <tableColumn id="4" xr3:uid="{00000000-0010-0000-B900-000004000000}" name="2010-2012" dataDxfId="988"/>
    <tableColumn id="5" xr3:uid="{00000000-0010-0000-B900-000005000000}" name="2012-2014" dataDxfId="987"/>
    <tableColumn id="6" xr3:uid="{00000000-0010-0000-B900-000006000000}" name="2014-2016" dataDxfId="986"/>
    <tableColumn id="7" xr3:uid="{00000000-0010-0000-B900-000007000000}" name="2016-2018" dataDxfId="985"/>
    <tableColumn id="8" xr3:uid="{00000000-0010-0000-B900-000008000000}" name="2018-2020" dataDxfId="984"/>
    <tableColumn id="9" xr3:uid="{00000000-0010-0000-B900-000009000000}" name="2020-2022" dataDxfId="983"/>
  </tableColumns>
  <tableStyleInfo name="TableStyleLight1" showFirstColumn="1" showLastColumn="0" showRowStripes="0"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1" xr:uid="{00000000-000C-0000-FFFF-FFFFBA000000}" name="table58a" displayName="table58a" ref="A7:E13" totalsRowShown="0" headerRowDxfId="975" dataDxfId="974">
  <tableColumns count="5">
    <tableColumn id="1" xr3:uid="{00000000-0010-0000-BA00-000001000000}" name="Group" dataDxfId="980"/>
    <tableColumn id="2" xr3:uid="{00000000-0010-0000-BA00-000002000000}" name="2014-2016" dataDxfId="979"/>
    <tableColumn id="3" xr3:uid="{00000000-0010-0000-BA00-000003000000}" name="2016-2018" dataDxfId="978"/>
    <tableColumn id="4" xr3:uid="{00000000-0010-0000-BA00-000004000000}" name="2018-2020" dataDxfId="977"/>
    <tableColumn id="5" xr3:uid="{00000000-0010-0000-BA00-000005000000}" name="2020-2022" dataDxfId="976"/>
  </tableColumns>
  <tableStyleInfo name="TableStyleLight1" showFirstColumn="1" showLastColumn="0" showRowStripes="0"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2" xr:uid="{00000000-000C-0000-FFFF-FFFFBB000000}" name="table58b" displayName="table58b" ref="A15:E21" totalsRowShown="0" headerRowDxfId="968" dataDxfId="967">
  <tableColumns count="5">
    <tableColumn id="1" xr3:uid="{00000000-0010-0000-BB00-000001000000}" name="Group" dataDxfId="973"/>
    <tableColumn id="2" xr3:uid="{00000000-0010-0000-BB00-000002000000}" name="2014-2016" dataDxfId="972"/>
    <tableColumn id="3" xr3:uid="{00000000-0010-0000-BB00-000003000000}" name="2016-2018" dataDxfId="971"/>
    <tableColumn id="4" xr3:uid="{00000000-0010-0000-BB00-000004000000}" name="2018-2020" dataDxfId="970"/>
    <tableColumn id="5" xr3:uid="{00000000-0010-0000-BB00-000005000000}" name="2020-2022" dataDxfId="969"/>
  </tableColumns>
  <tableStyleInfo name="TableStyleLight1" showFirstColumn="1" showLastColumn="0" showRowStripes="0"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3" xr:uid="{00000000-000C-0000-FFFF-FFFFBC000000}" name="table58c" displayName="table58c" ref="A23:E29" totalsRowShown="0" headerRowDxfId="961" dataDxfId="960">
  <tableColumns count="5">
    <tableColumn id="1" xr3:uid="{00000000-0010-0000-BC00-000001000000}" name="Group" dataDxfId="966"/>
    <tableColumn id="2" xr3:uid="{00000000-0010-0000-BC00-000002000000}" name="2014-2016" dataDxfId="965"/>
    <tableColumn id="3" xr3:uid="{00000000-0010-0000-BC00-000003000000}" name="2016-2018" dataDxfId="964"/>
    <tableColumn id="4" xr3:uid="{00000000-0010-0000-BC00-000004000000}" name="2018-2020" dataDxfId="963"/>
    <tableColumn id="5" xr3:uid="{00000000-0010-0000-BC00-000005000000}" name="2020-2022" dataDxfId="962"/>
  </tableColumns>
  <tableStyleInfo name="TableStyleLight1" showFirstColumn="1" showLastColumn="0" showRowStripes="0"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4" xr:uid="{00000000-000C-0000-FFFF-FFFFBD000000}" name="table58d" displayName="table58d" ref="A31:E37" totalsRowShown="0" headerRowDxfId="954" dataDxfId="953">
  <tableColumns count="5">
    <tableColumn id="1" xr3:uid="{00000000-0010-0000-BD00-000001000000}" name="Group" dataDxfId="959"/>
    <tableColumn id="2" xr3:uid="{00000000-0010-0000-BD00-000002000000}" name="2014-2016" dataDxfId="958"/>
    <tableColumn id="3" xr3:uid="{00000000-0010-0000-BD00-000003000000}" name="2016-2018" dataDxfId="957"/>
    <tableColumn id="4" xr3:uid="{00000000-0010-0000-BD00-000004000000}" name="2018-2020" dataDxfId="956"/>
    <tableColumn id="5" xr3:uid="{00000000-0010-0000-BD00-000005000000}" name="2020-2022" dataDxfId="955"/>
  </tableColumns>
  <tableStyleInfo name="TableStyleLight1" showFirstColumn="1" showLastColumn="0" showRowStripes="0"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5" xr:uid="{00000000-000C-0000-FFFF-FFFFBE000000}" name="table59a" displayName="table59a" ref="A7:F12" totalsRowShown="0" headerRowDxfId="946" dataDxfId="945">
  <tableColumns count="6">
    <tableColumn id="1" xr3:uid="{00000000-0010-0000-BE00-000001000000}" name="Group" dataDxfId="952"/>
    <tableColumn id="2" xr3:uid="{00000000-0010-0000-BE00-000002000000}" name="2012-2014" dataDxfId="951"/>
    <tableColumn id="3" xr3:uid="{00000000-0010-0000-BE00-000003000000}" name="2014-2016" dataDxfId="950"/>
    <tableColumn id="4" xr3:uid="{00000000-0010-0000-BE00-000004000000}" name="2016-2018" dataDxfId="949"/>
    <tableColumn id="5" xr3:uid="{00000000-0010-0000-BE00-000005000000}" name="2018-2020" dataDxfId="948"/>
    <tableColumn id="6" xr3:uid="{00000000-0010-0000-BE00-000006000000}" name="2020-2022" dataDxfId="947"/>
  </tableColumns>
  <tableStyleInfo name="TableStyleLight1" showFirstColumn="1" showLastColumn="0" showRowStripes="0"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6" xr:uid="{00000000-000C-0000-FFFF-FFFFBF000000}" name="table59b" displayName="table59b" ref="A14:F19" totalsRowShown="0" headerRowDxfId="938" dataDxfId="937">
  <tableColumns count="6">
    <tableColumn id="1" xr3:uid="{00000000-0010-0000-BF00-000001000000}" name="Group" dataDxfId="944"/>
    <tableColumn id="2" xr3:uid="{00000000-0010-0000-BF00-000002000000}" name="2012-2014" dataDxfId="943"/>
    <tableColumn id="3" xr3:uid="{00000000-0010-0000-BF00-000003000000}" name="2014-2016" dataDxfId="942"/>
    <tableColumn id="4" xr3:uid="{00000000-0010-0000-BF00-000004000000}" name="2016-2018" dataDxfId="941"/>
    <tableColumn id="5" xr3:uid="{00000000-0010-0000-BF00-000005000000}" name="2018-2020" dataDxfId="940"/>
    <tableColumn id="6" xr3:uid="{00000000-0010-0000-BF00-000006000000}" name="2020-2022" dataDxfId="939"/>
  </tableColumns>
  <tableStyleInfo name="TableStyleLight1" showFirstColumn="1" showLastColumn="0" showRowStripes="0"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7" xr:uid="{00000000-000C-0000-FFFF-FFFFC0000000}" name="table59c" displayName="table59c" ref="A21:F26" totalsRowShown="0" headerRowDxfId="930" dataDxfId="929">
  <tableColumns count="6">
    <tableColumn id="1" xr3:uid="{00000000-0010-0000-C000-000001000000}" name="Group" dataDxfId="936"/>
    <tableColumn id="2" xr3:uid="{00000000-0010-0000-C000-000002000000}" name="2012-2014" dataDxfId="935"/>
    <tableColumn id="3" xr3:uid="{00000000-0010-0000-C000-000003000000}" name="2014-2016" dataDxfId="934"/>
    <tableColumn id="4" xr3:uid="{00000000-0010-0000-C000-000004000000}" name="2016-2018" dataDxfId="933"/>
    <tableColumn id="5" xr3:uid="{00000000-0010-0000-C000-000005000000}" name="2018-2020" dataDxfId="932"/>
    <tableColumn id="6" xr3:uid="{00000000-0010-0000-C000-000006000000}" name="2020-2022" dataDxfId="931"/>
  </tableColumns>
  <tableStyleInfo name="TableStyleLight1" showFirstColumn="1" showLastColumn="0" showRowStripes="0"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8" xr:uid="{00000000-000C-0000-FFFF-FFFFC1000000}" name="table59d" displayName="table59d" ref="A28:F33" totalsRowShown="0" headerRowDxfId="922" dataDxfId="921">
  <tableColumns count="6">
    <tableColumn id="1" xr3:uid="{00000000-0010-0000-C100-000001000000}" name="Group" dataDxfId="928"/>
    <tableColumn id="2" xr3:uid="{00000000-0010-0000-C100-000002000000}" name="2012-2014" dataDxfId="927"/>
    <tableColumn id="3" xr3:uid="{00000000-0010-0000-C100-000003000000}" name="2014-2016" dataDxfId="926"/>
    <tableColumn id="4" xr3:uid="{00000000-0010-0000-C100-000004000000}" name="2016-2018" dataDxfId="925"/>
    <tableColumn id="5" xr3:uid="{00000000-0010-0000-C100-000005000000}" name="2018-2020" dataDxfId="924"/>
    <tableColumn id="6" xr3:uid="{00000000-0010-0000-C100-000006000000}" name="2020-2022" dataDxfId="923"/>
  </tableColumns>
  <tableStyleInfo name="TableStyleLight1" showFirstColumn="1" showLastColumn="0" showRowStripes="0"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9" xr:uid="{00000000-000C-0000-FFFF-FFFFC2000000}" name="table60a" displayName="table60a" ref="A6:I10" totalsRowShown="0" headerRowDxfId="911" dataDxfId="910">
  <tableColumns count="9">
    <tableColumn id="1" xr3:uid="{00000000-0010-0000-C200-000001000000}" name="Group" dataDxfId="920"/>
    <tableColumn id="2" xr3:uid="{00000000-0010-0000-C200-000002000000}" name="2006-2008" dataDxfId="919"/>
    <tableColumn id="3" xr3:uid="{00000000-0010-0000-C200-000003000000}" name="2008-2010" dataDxfId="918"/>
    <tableColumn id="4" xr3:uid="{00000000-0010-0000-C200-000004000000}" name="2010-2012" dataDxfId="917"/>
    <tableColumn id="5" xr3:uid="{00000000-0010-0000-C200-000005000000}" name="2012-2014" dataDxfId="916"/>
    <tableColumn id="6" xr3:uid="{00000000-0010-0000-C200-000006000000}" name="2014-2016" dataDxfId="915"/>
    <tableColumn id="7" xr3:uid="{00000000-0010-0000-C200-000007000000}" name="2016-2018" dataDxfId="914"/>
    <tableColumn id="8" xr3:uid="{00000000-0010-0000-C200-000008000000}" name="2018-2020" dataDxfId="913"/>
    <tableColumn id="9" xr3:uid="{00000000-0010-0000-C200-000009000000}" name="2020-2022" dataDxfId="912"/>
  </tableColumns>
  <tableStyleInfo name="TableStyleLight1" showFirstColumn="1" showLastColumn="0" showRowStripes="0"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0" xr:uid="{00000000-000C-0000-FFFF-FFFFC3000000}" name="table60b" displayName="table60b" ref="A12:I16" totalsRowShown="0" headerRowDxfId="900" dataDxfId="899">
  <tableColumns count="9">
    <tableColumn id="1" xr3:uid="{00000000-0010-0000-C300-000001000000}" name="Group" dataDxfId="909"/>
    <tableColumn id="2" xr3:uid="{00000000-0010-0000-C300-000002000000}" name="2006-2008" dataDxfId="908"/>
    <tableColumn id="3" xr3:uid="{00000000-0010-0000-C300-000003000000}" name="2008-2010" dataDxfId="907"/>
    <tableColumn id="4" xr3:uid="{00000000-0010-0000-C300-000004000000}" name="2010-2012" dataDxfId="906"/>
    <tableColumn id="5" xr3:uid="{00000000-0010-0000-C300-000005000000}" name="2012-2014" dataDxfId="905"/>
    <tableColumn id="6" xr3:uid="{00000000-0010-0000-C300-000006000000}" name="2014-2016" dataDxfId="904"/>
    <tableColumn id="7" xr3:uid="{00000000-0010-0000-C300-000007000000}" name="2016-2018" dataDxfId="903"/>
    <tableColumn id="8" xr3:uid="{00000000-0010-0000-C300-000008000000}" name="2018-2020" dataDxfId="902"/>
    <tableColumn id="9" xr3:uid="{00000000-0010-0000-C300-000009000000}" name="2020-2022" dataDxfId="901"/>
  </tableColumns>
  <tableStyleInfo name="TableStyleLight1" showFirstColumn="1" showLastColumn="0" showRowStripes="0"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1" xr:uid="{00000000-000C-0000-FFFF-FFFFC4000000}" name="table60c" displayName="table60c" ref="A18:I22" totalsRowShown="0" headerRowDxfId="889" dataDxfId="888">
  <tableColumns count="9">
    <tableColumn id="1" xr3:uid="{00000000-0010-0000-C400-000001000000}" name="Group" dataDxfId="898"/>
    <tableColumn id="2" xr3:uid="{00000000-0010-0000-C400-000002000000}" name="2006-2008" dataDxfId="897"/>
    <tableColumn id="3" xr3:uid="{00000000-0010-0000-C400-000003000000}" name="2008-2010" dataDxfId="896"/>
    <tableColumn id="4" xr3:uid="{00000000-0010-0000-C400-000004000000}" name="2010-2012" dataDxfId="895"/>
    <tableColumn id="5" xr3:uid="{00000000-0010-0000-C400-000005000000}" name="2012-2014" dataDxfId="894"/>
    <tableColumn id="6" xr3:uid="{00000000-0010-0000-C400-000006000000}" name="2014-2016" dataDxfId="893"/>
    <tableColumn id="7" xr3:uid="{00000000-0010-0000-C400-000007000000}" name="2016-2018" dataDxfId="892"/>
    <tableColumn id="8" xr3:uid="{00000000-0010-0000-C400-000008000000}" name="2018-2020" dataDxfId="891"/>
    <tableColumn id="9" xr3:uid="{00000000-0010-0000-C400-000009000000}" name="2020-2022" dataDxfId="890"/>
  </tableColumns>
  <tableStyleInfo name="TableStyleLight1" showFirstColumn="1" showLastColumn="0" showRowStripes="0"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2" xr:uid="{00000000-000C-0000-FFFF-FFFFC5000000}" name="table60d" displayName="table60d" ref="A24:I28" totalsRowShown="0" headerRowDxfId="878" dataDxfId="877">
  <tableColumns count="9">
    <tableColumn id="1" xr3:uid="{00000000-0010-0000-C500-000001000000}" name="Group" dataDxfId="887"/>
    <tableColumn id="2" xr3:uid="{00000000-0010-0000-C500-000002000000}" name="2006-2008" dataDxfId="886"/>
    <tableColumn id="3" xr3:uid="{00000000-0010-0000-C500-000003000000}" name="2008-2010" dataDxfId="885"/>
    <tableColumn id="4" xr3:uid="{00000000-0010-0000-C500-000004000000}" name="2010-2012" dataDxfId="884"/>
    <tableColumn id="5" xr3:uid="{00000000-0010-0000-C500-000005000000}" name="2012-2014" dataDxfId="883"/>
    <tableColumn id="6" xr3:uid="{00000000-0010-0000-C500-000006000000}" name="2014-2016" dataDxfId="882"/>
    <tableColumn id="7" xr3:uid="{00000000-0010-0000-C500-000007000000}" name="2016-2018" dataDxfId="881"/>
    <tableColumn id="8" xr3:uid="{00000000-0010-0000-C500-000008000000}" name="2018-2020" dataDxfId="880"/>
    <tableColumn id="9" xr3:uid="{00000000-0010-0000-C500-000009000000}" name="2020-2022" dataDxfId="879"/>
  </tableColumns>
  <tableStyleInfo name="TableStyleLight1" showFirstColumn="1" showLastColumn="0" showRowStripes="0"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3" xr:uid="{00000000-000C-0000-FFFF-FFFFC6000000}" name="table61a" displayName="table61a" ref="A7:I13" totalsRowShown="0" headerRowDxfId="867" dataDxfId="866">
  <tableColumns count="9">
    <tableColumn id="1" xr3:uid="{00000000-0010-0000-C600-000001000000}" name="Group" dataDxfId="876"/>
    <tableColumn id="2" xr3:uid="{00000000-0010-0000-C600-000002000000}" name="2006-2008" dataDxfId="875"/>
    <tableColumn id="3" xr3:uid="{00000000-0010-0000-C600-000003000000}" name="2008-2010" dataDxfId="874"/>
    <tableColumn id="4" xr3:uid="{00000000-0010-0000-C600-000004000000}" name="2010-2012" dataDxfId="873"/>
    <tableColumn id="5" xr3:uid="{00000000-0010-0000-C600-000005000000}" name="2012-2014" dataDxfId="872"/>
    <tableColumn id="6" xr3:uid="{00000000-0010-0000-C600-000006000000}" name="2014-2016" dataDxfId="871"/>
    <tableColumn id="7" xr3:uid="{00000000-0010-0000-C600-000007000000}" name="2016-2018" dataDxfId="870"/>
    <tableColumn id="8" xr3:uid="{00000000-0010-0000-C600-000008000000}" name="2018-2020" dataDxfId="869"/>
    <tableColumn id="9" xr3:uid="{00000000-0010-0000-C600-000009000000}" name="2020-2022" dataDxfId="868"/>
  </tableColumns>
  <tableStyleInfo name="TableStyleLight1" showFirstColumn="1" showLastColumn="0" showRowStripes="0"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4" xr:uid="{00000000-000C-0000-FFFF-FFFFC7000000}" name="table61b" displayName="table61b" ref="A15:I21" totalsRowShown="0" headerRowDxfId="856" dataDxfId="855">
  <tableColumns count="9">
    <tableColumn id="1" xr3:uid="{00000000-0010-0000-C700-000001000000}" name="Group" dataDxfId="865"/>
    <tableColumn id="2" xr3:uid="{00000000-0010-0000-C700-000002000000}" name="2006-2008" dataDxfId="864"/>
    <tableColumn id="3" xr3:uid="{00000000-0010-0000-C700-000003000000}" name="2008-2010" dataDxfId="863"/>
    <tableColumn id="4" xr3:uid="{00000000-0010-0000-C700-000004000000}" name="2010-2012" dataDxfId="862"/>
    <tableColumn id="5" xr3:uid="{00000000-0010-0000-C700-000005000000}" name="2012-2014" dataDxfId="861"/>
    <tableColumn id="6" xr3:uid="{00000000-0010-0000-C700-000006000000}" name="2014-2016" dataDxfId="860"/>
    <tableColumn id="7" xr3:uid="{00000000-0010-0000-C700-000007000000}" name="2016-2018" dataDxfId="859"/>
    <tableColumn id="8" xr3:uid="{00000000-0010-0000-C700-000008000000}" name="2018-2020" dataDxfId="858"/>
    <tableColumn id="9" xr3:uid="{00000000-0010-0000-C700-000009000000}" name="2020-2022" dataDxfId="857"/>
  </tableColumns>
  <tableStyleInfo name="TableStyleLight1" showFirstColumn="1" showLastColumn="0" showRowStripes="0"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5" xr:uid="{00000000-000C-0000-FFFF-FFFFC8000000}" name="table61c" displayName="table61c" ref="A23:I29" totalsRowShown="0" headerRowDxfId="845" dataDxfId="844">
  <tableColumns count="9">
    <tableColumn id="1" xr3:uid="{00000000-0010-0000-C800-000001000000}" name="Group" dataDxfId="854"/>
    <tableColumn id="2" xr3:uid="{00000000-0010-0000-C800-000002000000}" name="2006-2008" dataDxfId="853"/>
    <tableColumn id="3" xr3:uid="{00000000-0010-0000-C800-000003000000}" name="2008-2010" dataDxfId="852"/>
    <tableColumn id="4" xr3:uid="{00000000-0010-0000-C800-000004000000}" name="2010-2012" dataDxfId="851"/>
    <tableColumn id="5" xr3:uid="{00000000-0010-0000-C800-000005000000}" name="2012-2014" dataDxfId="850"/>
    <tableColumn id="6" xr3:uid="{00000000-0010-0000-C800-000006000000}" name="2014-2016" dataDxfId="849"/>
    <tableColumn id="7" xr3:uid="{00000000-0010-0000-C800-000007000000}" name="2016-2018" dataDxfId="848"/>
    <tableColumn id="8" xr3:uid="{00000000-0010-0000-C800-000008000000}" name="2018-2020" dataDxfId="847"/>
    <tableColumn id="9" xr3:uid="{00000000-0010-0000-C800-000009000000}" name="2020-2022" dataDxfId="846"/>
  </tableColumns>
  <tableStyleInfo name="TableStyleLight1" showFirstColumn="1" showLastColumn="0" showRowStripes="0"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6" xr:uid="{00000000-000C-0000-FFFF-FFFFC9000000}" name="table61d" displayName="table61d" ref="A31:I37" totalsRowShown="0" headerRowDxfId="834" dataDxfId="833">
  <tableColumns count="9">
    <tableColumn id="1" xr3:uid="{00000000-0010-0000-C900-000001000000}" name="Group" dataDxfId="843"/>
    <tableColumn id="2" xr3:uid="{00000000-0010-0000-C900-000002000000}" name="2006-2008" dataDxfId="842"/>
    <tableColumn id="3" xr3:uid="{00000000-0010-0000-C900-000003000000}" name="2008-2010" dataDxfId="841"/>
    <tableColumn id="4" xr3:uid="{00000000-0010-0000-C900-000004000000}" name="2010-2012" dataDxfId="840"/>
    <tableColumn id="5" xr3:uid="{00000000-0010-0000-C900-000005000000}" name="2012-2014" dataDxfId="839"/>
    <tableColumn id="6" xr3:uid="{00000000-0010-0000-C900-000006000000}" name="2014-2016" dataDxfId="838"/>
    <tableColumn id="7" xr3:uid="{00000000-0010-0000-C900-000007000000}" name="2016-2018" dataDxfId="837"/>
    <tableColumn id="8" xr3:uid="{00000000-0010-0000-C900-000008000000}" name="2018-2020" dataDxfId="836"/>
    <tableColumn id="9" xr3:uid="{00000000-0010-0000-C900-000009000000}" name="2020-2022" dataDxfId="835"/>
  </tableColumns>
  <tableStyleInfo name="TableStyleLight1" showFirstColumn="1" showLastColumn="0" showRowStripes="0"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7" xr:uid="{00000000-000C-0000-FFFF-FFFFCA000000}" name="table62a" displayName="table62a" ref="A6:I13" totalsRowShown="0" headerRowDxfId="823" dataDxfId="822">
  <tableColumns count="9">
    <tableColumn id="1" xr3:uid="{00000000-0010-0000-CA00-000001000000}" name="Group" dataDxfId="832"/>
    <tableColumn id="2" xr3:uid="{00000000-0010-0000-CA00-000002000000}" name="2006-2008" dataDxfId="831"/>
    <tableColumn id="3" xr3:uid="{00000000-0010-0000-CA00-000003000000}" name="2008-2010" dataDxfId="830"/>
    <tableColumn id="4" xr3:uid="{00000000-0010-0000-CA00-000004000000}" name="2010-2012" dataDxfId="829"/>
    <tableColumn id="5" xr3:uid="{00000000-0010-0000-CA00-000005000000}" name="2012-2014" dataDxfId="828"/>
    <tableColumn id="6" xr3:uid="{00000000-0010-0000-CA00-000006000000}" name="2014-2016" dataDxfId="827"/>
    <tableColumn id="7" xr3:uid="{00000000-0010-0000-CA00-000007000000}" name="2016-2018" dataDxfId="826"/>
    <tableColumn id="8" xr3:uid="{00000000-0010-0000-CA00-000008000000}" name="2018-2020" dataDxfId="825"/>
    <tableColumn id="9" xr3:uid="{00000000-0010-0000-CA00-000009000000}" name="2020-2022" dataDxfId="824"/>
  </tableColumns>
  <tableStyleInfo name="TableStyleLight1" showFirstColumn="1" showLastColumn="0" showRowStripes="0"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8" xr:uid="{00000000-000C-0000-FFFF-FFFFCB000000}" name="table62b" displayName="table62b" ref="A15:I22" totalsRowShown="0" headerRowDxfId="812" dataDxfId="811">
  <tableColumns count="9">
    <tableColumn id="1" xr3:uid="{00000000-0010-0000-CB00-000001000000}" name="Group" dataDxfId="821"/>
    <tableColumn id="2" xr3:uid="{00000000-0010-0000-CB00-000002000000}" name="2006-2008" dataDxfId="820"/>
    <tableColumn id="3" xr3:uid="{00000000-0010-0000-CB00-000003000000}" name="2008-2010" dataDxfId="819"/>
    <tableColumn id="4" xr3:uid="{00000000-0010-0000-CB00-000004000000}" name="2010-2012" dataDxfId="818"/>
    <tableColumn id="5" xr3:uid="{00000000-0010-0000-CB00-000005000000}" name="2012-2014" dataDxfId="817"/>
    <tableColumn id="6" xr3:uid="{00000000-0010-0000-CB00-000006000000}" name="2014-2016" dataDxfId="816"/>
    <tableColumn id="7" xr3:uid="{00000000-0010-0000-CB00-000007000000}" name="2016-2018" dataDxfId="815"/>
    <tableColumn id="8" xr3:uid="{00000000-0010-0000-CB00-000008000000}" name="2018-2020" dataDxfId="814"/>
    <tableColumn id="9" xr3:uid="{00000000-0010-0000-CB00-000009000000}" name="2020-2022" dataDxfId="813"/>
  </tableColumns>
  <tableStyleInfo name="TableStyleLight1" showFirstColumn="1" showLastColumn="0" showRowStripes="0"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9" xr:uid="{00000000-000C-0000-FFFF-FFFFCC000000}" name="table62c" displayName="table62c" ref="A24:I31" totalsRowShown="0" headerRowDxfId="801" dataDxfId="800">
  <tableColumns count="9">
    <tableColumn id="1" xr3:uid="{00000000-0010-0000-CC00-000001000000}" name="Group" dataDxfId="810"/>
    <tableColumn id="2" xr3:uid="{00000000-0010-0000-CC00-000002000000}" name="2006-2008" dataDxfId="809"/>
    <tableColumn id="3" xr3:uid="{00000000-0010-0000-CC00-000003000000}" name="2008-2010" dataDxfId="808"/>
    <tableColumn id="4" xr3:uid="{00000000-0010-0000-CC00-000004000000}" name="2010-2012" dataDxfId="807"/>
    <tableColumn id="5" xr3:uid="{00000000-0010-0000-CC00-000005000000}" name="2012-2014" dataDxfId="806"/>
    <tableColumn id="6" xr3:uid="{00000000-0010-0000-CC00-000006000000}" name="2014-2016" dataDxfId="805"/>
    <tableColumn id="7" xr3:uid="{00000000-0010-0000-CC00-000007000000}" name="2016-2018" dataDxfId="804"/>
    <tableColumn id="8" xr3:uid="{00000000-0010-0000-CC00-000008000000}" name="2018-2020" dataDxfId="803"/>
    <tableColumn id="9" xr3:uid="{00000000-0010-0000-CC00-000009000000}" name="2020-2022" dataDxfId="802"/>
  </tableColumns>
  <tableStyleInfo name="TableStyleLight1" showFirstColumn="1" showLastColumn="0" showRowStripes="0"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0" xr:uid="{00000000-000C-0000-FFFF-FFFFCD000000}" name="table62d" displayName="table62d" ref="A33:I40" totalsRowShown="0" headerRowDxfId="790" dataDxfId="789">
  <tableColumns count="9">
    <tableColumn id="1" xr3:uid="{00000000-0010-0000-CD00-000001000000}" name="Group" dataDxfId="799"/>
    <tableColumn id="2" xr3:uid="{00000000-0010-0000-CD00-000002000000}" name="2006-2008" dataDxfId="798"/>
    <tableColumn id="3" xr3:uid="{00000000-0010-0000-CD00-000003000000}" name="2008-2010" dataDxfId="797"/>
    <tableColumn id="4" xr3:uid="{00000000-0010-0000-CD00-000004000000}" name="2010-2012" dataDxfId="796"/>
    <tableColumn id="5" xr3:uid="{00000000-0010-0000-CD00-000005000000}" name="2012-2014" dataDxfId="795"/>
    <tableColumn id="6" xr3:uid="{00000000-0010-0000-CD00-000006000000}" name="2014-2016" dataDxfId="794"/>
    <tableColumn id="7" xr3:uid="{00000000-0010-0000-CD00-000007000000}" name="2016-2018" dataDxfId="793"/>
    <tableColumn id="8" xr3:uid="{00000000-0010-0000-CD00-000008000000}" name="2018-2020" dataDxfId="792"/>
    <tableColumn id="9" xr3:uid="{00000000-0010-0000-CD00-000009000000}" name="2020-2022" dataDxfId="791"/>
  </tableColumns>
  <tableStyleInfo name="TableStyleLight1" showFirstColumn="1" showLastColumn="0" showRowStripes="0"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1" xr:uid="{00000000-000C-0000-FFFF-FFFFCE000000}" name="table63a" displayName="table63a" ref="A6:I9" totalsRowShown="0" headerRowDxfId="779" dataDxfId="778">
  <tableColumns count="9">
    <tableColumn id="1" xr3:uid="{00000000-0010-0000-CE00-000001000000}" name="Group" dataDxfId="788"/>
    <tableColumn id="2" xr3:uid="{00000000-0010-0000-CE00-000002000000}" name="2006-2008" dataDxfId="787"/>
    <tableColumn id="3" xr3:uid="{00000000-0010-0000-CE00-000003000000}" name="2008-2010" dataDxfId="786"/>
    <tableColumn id="4" xr3:uid="{00000000-0010-0000-CE00-000004000000}" name="2010-2012" dataDxfId="785"/>
    <tableColumn id="5" xr3:uid="{00000000-0010-0000-CE00-000005000000}" name="2012-2014" dataDxfId="784"/>
    <tableColumn id="6" xr3:uid="{00000000-0010-0000-CE00-000006000000}" name="2014-2016" dataDxfId="783"/>
    <tableColumn id="7" xr3:uid="{00000000-0010-0000-CE00-000007000000}" name="2016-2018" dataDxfId="782"/>
    <tableColumn id="8" xr3:uid="{00000000-0010-0000-CE00-000008000000}" name="2018-2020" dataDxfId="781"/>
    <tableColumn id="9" xr3:uid="{00000000-0010-0000-CE00-000009000000}" name="2020-2022" dataDxfId="780"/>
  </tableColumns>
  <tableStyleInfo name="TableStyleLight1" showFirstColumn="1" showLastColumn="0" showRowStripes="0"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2" xr:uid="{00000000-000C-0000-FFFF-FFFFCF000000}" name="table63b" displayName="table63b" ref="A11:I14" totalsRowShown="0" headerRowDxfId="768" dataDxfId="767">
  <tableColumns count="9">
    <tableColumn id="1" xr3:uid="{00000000-0010-0000-CF00-000001000000}" name="Group" dataDxfId="777"/>
    <tableColumn id="2" xr3:uid="{00000000-0010-0000-CF00-000002000000}" name="2006-2008" dataDxfId="776"/>
    <tableColumn id="3" xr3:uid="{00000000-0010-0000-CF00-000003000000}" name="2008-2010" dataDxfId="775"/>
    <tableColumn id="4" xr3:uid="{00000000-0010-0000-CF00-000004000000}" name="2010-2012" dataDxfId="774"/>
    <tableColumn id="5" xr3:uid="{00000000-0010-0000-CF00-000005000000}" name="2012-2014" dataDxfId="773"/>
    <tableColumn id="6" xr3:uid="{00000000-0010-0000-CF00-000006000000}" name="2014-2016" dataDxfId="772"/>
    <tableColumn id="7" xr3:uid="{00000000-0010-0000-CF00-000007000000}" name="2016-2018" dataDxfId="771"/>
    <tableColumn id="8" xr3:uid="{00000000-0010-0000-CF00-000008000000}" name="2018-2020" dataDxfId="770"/>
    <tableColumn id="9" xr3:uid="{00000000-0010-0000-CF00-000009000000}" name="2020-2022" dataDxfId="769"/>
  </tableColumns>
  <tableStyleInfo name="TableStyleLight1" showFirstColumn="1" showLastColumn="0" showRowStripes="0"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3" xr:uid="{00000000-000C-0000-FFFF-FFFFD0000000}" name="table63c" displayName="table63c" ref="A16:I19" totalsRowShown="0" headerRowDxfId="757" dataDxfId="756">
  <tableColumns count="9">
    <tableColumn id="1" xr3:uid="{00000000-0010-0000-D000-000001000000}" name="Group" dataDxfId="766"/>
    <tableColumn id="2" xr3:uid="{00000000-0010-0000-D000-000002000000}" name="2006-2008" dataDxfId="765"/>
    <tableColumn id="3" xr3:uid="{00000000-0010-0000-D000-000003000000}" name="2008-2010" dataDxfId="764"/>
    <tableColumn id="4" xr3:uid="{00000000-0010-0000-D000-000004000000}" name="2010-2012" dataDxfId="763"/>
    <tableColumn id="5" xr3:uid="{00000000-0010-0000-D000-000005000000}" name="2012-2014" dataDxfId="762"/>
    <tableColumn id="6" xr3:uid="{00000000-0010-0000-D000-000006000000}" name="2014-2016" dataDxfId="761"/>
    <tableColumn id="7" xr3:uid="{00000000-0010-0000-D000-000007000000}" name="2016-2018" dataDxfId="760"/>
    <tableColumn id="8" xr3:uid="{00000000-0010-0000-D000-000008000000}" name="2018-2020" dataDxfId="759"/>
    <tableColumn id="9" xr3:uid="{00000000-0010-0000-D000-000009000000}" name="2020-2022" dataDxfId="758"/>
  </tableColumns>
  <tableStyleInfo name="TableStyleLight1" showFirstColumn="1" showLastColumn="0" showRowStripes="0"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4" xr:uid="{00000000-000C-0000-FFFF-FFFFD1000000}" name="table63d" displayName="table63d" ref="A21:I24" totalsRowShown="0" headerRowDxfId="746" dataDxfId="745">
  <tableColumns count="9">
    <tableColumn id="1" xr3:uid="{00000000-0010-0000-D100-000001000000}" name="Group" dataDxfId="755"/>
    <tableColumn id="2" xr3:uid="{00000000-0010-0000-D100-000002000000}" name="2006-2008" dataDxfId="754"/>
    <tableColumn id="3" xr3:uid="{00000000-0010-0000-D100-000003000000}" name="2008-2010" dataDxfId="753"/>
    <tableColumn id="4" xr3:uid="{00000000-0010-0000-D100-000004000000}" name="2010-2012" dataDxfId="752"/>
    <tableColumn id="5" xr3:uid="{00000000-0010-0000-D100-000005000000}" name="2012-2014" dataDxfId="751"/>
    <tableColumn id="6" xr3:uid="{00000000-0010-0000-D100-000006000000}" name="2014-2016" dataDxfId="750"/>
    <tableColumn id="7" xr3:uid="{00000000-0010-0000-D100-000007000000}" name="2016-2018" dataDxfId="749"/>
    <tableColumn id="8" xr3:uid="{00000000-0010-0000-D100-000008000000}" name="2018-2020" dataDxfId="748"/>
    <tableColumn id="9" xr3:uid="{00000000-0010-0000-D100-000009000000}" name="2020-2022" dataDxfId="747"/>
  </tableColumns>
  <tableStyleInfo name="TableStyleLight1" showFirstColumn="1" showLastColumn="0" showRowStripes="0"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5" xr:uid="{00000000-000C-0000-FFFF-FFFFD2000000}" name="table64a" displayName="table64a" ref="A7:I10" totalsRowShown="0" headerRowDxfId="735" dataDxfId="734">
  <tableColumns count="9">
    <tableColumn id="1" xr3:uid="{00000000-0010-0000-D200-000001000000}" name="Group" dataDxfId="744"/>
    <tableColumn id="2" xr3:uid="{00000000-0010-0000-D200-000002000000}" name="2006-2008" dataDxfId="743"/>
    <tableColumn id="3" xr3:uid="{00000000-0010-0000-D200-000003000000}" name="2008-2010" dataDxfId="742"/>
    <tableColumn id="4" xr3:uid="{00000000-0010-0000-D200-000004000000}" name="2010-2012" dataDxfId="741"/>
    <tableColumn id="5" xr3:uid="{00000000-0010-0000-D200-000005000000}" name="2012-2014" dataDxfId="740"/>
    <tableColumn id="6" xr3:uid="{00000000-0010-0000-D200-000006000000}" name="2014-2016" dataDxfId="739"/>
    <tableColumn id="7" xr3:uid="{00000000-0010-0000-D200-000007000000}" name="2016-2018" dataDxfId="738"/>
    <tableColumn id="8" xr3:uid="{00000000-0010-0000-D200-000008000000}" name="2018-2020" dataDxfId="737"/>
    <tableColumn id="9" xr3:uid="{00000000-0010-0000-D200-000009000000}" name="2020-2022" dataDxfId="736"/>
  </tableColumns>
  <tableStyleInfo name="TableStyleLight1" showFirstColumn="1" showLastColumn="0" showRowStripes="0"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6" xr:uid="{00000000-000C-0000-FFFF-FFFFD3000000}" name="table64b" displayName="table64b" ref="A12:I15" totalsRowShown="0" headerRowDxfId="724" dataDxfId="723">
  <tableColumns count="9">
    <tableColumn id="1" xr3:uid="{00000000-0010-0000-D300-000001000000}" name="Group" dataDxfId="733"/>
    <tableColumn id="2" xr3:uid="{00000000-0010-0000-D300-000002000000}" name="2006-2008" dataDxfId="732"/>
    <tableColumn id="3" xr3:uid="{00000000-0010-0000-D300-000003000000}" name="2008-2010" dataDxfId="731"/>
    <tableColumn id="4" xr3:uid="{00000000-0010-0000-D300-000004000000}" name="2010-2012" dataDxfId="730"/>
    <tableColumn id="5" xr3:uid="{00000000-0010-0000-D300-000005000000}" name="2012-2014" dataDxfId="729"/>
    <tableColumn id="6" xr3:uid="{00000000-0010-0000-D300-000006000000}" name="2014-2016" dataDxfId="728"/>
    <tableColumn id="7" xr3:uid="{00000000-0010-0000-D300-000007000000}" name="2016-2018" dataDxfId="727"/>
    <tableColumn id="8" xr3:uid="{00000000-0010-0000-D300-000008000000}" name="2018-2020" dataDxfId="726"/>
    <tableColumn id="9" xr3:uid="{00000000-0010-0000-D300-000009000000}" name="2020-2022" dataDxfId="725"/>
  </tableColumns>
  <tableStyleInfo name="TableStyleLight1" showFirstColumn="1" showLastColumn="0" showRowStripes="0"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7" xr:uid="{00000000-000C-0000-FFFF-FFFFD4000000}" name="table64c" displayName="table64c" ref="A17:I20" totalsRowShown="0" headerRowDxfId="713" dataDxfId="712">
  <tableColumns count="9">
    <tableColumn id="1" xr3:uid="{00000000-0010-0000-D400-000001000000}" name="Group" dataDxfId="722"/>
    <tableColumn id="2" xr3:uid="{00000000-0010-0000-D400-000002000000}" name="2006-2008" dataDxfId="721"/>
    <tableColumn id="3" xr3:uid="{00000000-0010-0000-D400-000003000000}" name="2008-2010" dataDxfId="720"/>
    <tableColumn id="4" xr3:uid="{00000000-0010-0000-D400-000004000000}" name="2010-2012" dataDxfId="719"/>
    <tableColumn id="5" xr3:uid="{00000000-0010-0000-D400-000005000000}" name="2012-2014" dataDxfId="718"/>
    <tableColumn id="6" xr3:uid="{00000000-0010-0000-D400-000006000000}" name="2014-2016" dataDxfId="717"/>
    <tableColumn id="7" xr3:uid="{00000000-0010-0000-D400-000007000000}" name="2016-2018" dataDxfId="716"/>
    <tableColumn id="8" xr3:uid="{00000000-0010-0000-D400-000008000000}" name="2018-2020" dataDxfId="715"/>
    <tableColumn id="9" xr3:uid="{00000000-0010-0000-D400-000009000000}" name="2020-2022" dataDxfId="714"/>
  </tableColumns>
  <tableStyleInfo name="TableStyleLight1" showFirstColumn="1" showLastColumn="0" showRowStripes="0"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8" xr:uid="{00000000-000C-0000-FFFF-FFFFD5000000}" name="table64d" displayName="table64d" ref="A22:I25" totalsRowShown="0" headerRowDxfId="702" dataDxfId="701">
  <tableColumns count="9">
    <tableColumn id="1" xr3:uid="{00000000-0010-0000-D500-000001000000}" name="Group" dataDxfId="711"/>
    <tableColumn id="2" xr3:uid="{00000000-0010-0000-D500-000002000000}" name="2006-2008" dataDxfId="710"/>
    <tableColumn id="3" xr3:uid="{00000000-0010-0000-D500-000003000000}" name="2008-2010" dataDxfId="709"/>
    <tableColumn id="4" xr3:uid="{00000000-0010-0000-D500-000004000000}" name="2010-2012" dataDxfId="708"/>
    <tableColumn id="5" xr3:uid="{00000000-0010-0000-D500-000005000000}" name="2012-2014" dataDxfId="707"/>
    <tableColumn id="6" xr3:uid="{00000000-0010-0000-D500-000006000000}" name="2014-2016" dataDxfId="706"/>
    <tableColumn id="7" xr3:uid="{00000000-0010-0000-D500-000007000000}" name="2016-2018" dataDxfId="705"/>
    <tableColumn id="8" xr3:uid="{00000000-0010-0000-D500-000008000000}" name="2018-2020" dataDxfId="704"/>
    <tableColumn id="9" xr3:uid="{00000000-0010-0000-D500-000009000000}" name="2020-2022" dataDxfId="703"/>
  </tableColumns>
  <tableStyleInfo name="TableStyleLight1" showFirstColumn="1" showLastColumn="0" showRowStripes="0"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9" xr:uid="{00000000-000C-0000-FFFF-FFFFD6000000}" name="table65a" displayName="table65a" ref="A6:I9" totalsRowShown="0" headerRowDxfId="691" dataDxfId="690">
  <tableColumns count="9">
    <tableColumn id="1" xr3:uid="{00000000-0010-0000-D600-000001000000}" name="Group" dataDxfId="700"/>
    <tableColumn id="2" xr3:uid="{00000000-0010-0000-D600-000002000000}" name="2006-2008" dataDxfId="699"/>
    <tableColumn id="3" xr3:uid="{00000000-0010-0000-D600-000003000000}" name="2008-2010" dataDxfId="698"/>
    <tableColumn id="4" xr3:uid="{00000000-0010-0000-D600-000004000000}" name="2010-2012" dataDxfId="697"/>
    <tableColumn id="5" xr3:uid="{00000000-0010-0000-D600-000005000000}" name="2012-2014" dataDxfId="696"/>
    <tableColumn id="6" xr3:uid="{00000000-0010-0000-D600-000006000000}" name="2014-2016" dataDxfId="695"/>
    <tableColumn id="7" xr3:uid="{00000000-0010-0000-D600-000007000000}" name="2016-2018" dataDxfId="694"/>
    <tableColumn id="8" xr3:uid="{00000000-0010-0000-D600-000008000000}" name="2018-2020" dataDxfId="693"/>
    <tableColumn id="9" xr3:uid="{00000000-0010-0000-D600-000009000000}" name="2020-2022" dataDxfId="692"/>
  </tableColumns>
  <tableStyleInfo name="TableStyleLight1" showFirstColumn="1" showLastColumn="0" showRowStripes="0"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0" xr:uid="{00000000-000C-0000-FFFF-FFFFD7000000}" name="table65b" displayName="table65b" ref="A11:I14" totalsRowShown="0" headerRowDxfId="680" dataDxfId="679">
  <tableColumns count="9">
    <tableColumn id="1" xr3:uid="{00000000-0010-0000-D700-000001000000}" name="Group" dataDxfId="689"/>
    <tableColumn id="2" xr3:uid="{00000000-0010-0000-D700-000002000000}" name="2006-2008" dataDxfId="688"/>
    <tableColumn id="3" xr3:uid="{00000000-0010-0000-D700-000003000000}" name="2008-2010" dataDxfId="687"/>
    <tableColumn id="4" xr3:uid="{00000000-0010-0000-D700-000004000000}" name="2010-2012" dataDxfId="686"/>
    <tableColumn id="5" xr3:uid="{00000000-0010-0000-D700-000005000000}" name="2012-2014" dataDxfId="685"/>
    <tableColumn id="6" xr3:uid="{00000000-0010-0000-D700-000006000000}" name="2014-2016" dataDxfId="684"/>
    <tableColumn id="7" xr3:uid="{00000000-0010-0000-D700-000007000000}" name="2016-2018" dataDxfId="683"/>
    <tableColumn id="8" xr3:uid="{00000000-0010-0000-D700-000008000000}" name="2018-2020" dataDxfId="682"/>
    <tableColumn id="9" xr3:uid="{00000000-0010-0000-D700-000009000000}" name="2020-2022" dataDxfId="681"/>
  </tableColumns>
  <tableStyleInfo name="TableStyleLight1" showFirstColumn="1" showLastColumn="0" showRowStripes="0"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1" xr:uid="{00000000-000C-0000-FFFF-FFFFD8000000}" name="table65c" displayName="table65c" ref="A16:I19" totalsRowShown="0" headerRowDxfId="669" dataDxfId="668">
  <tableColumns count="9">
    <tableColumn id="1" xr3:uid="{00000000-0010-0000-D800-000001000000}" name="Group" dataDxfId="678"/>
    <tableColumn id="2" xr3:uid="{00000000-0010-0000-D800-000002000000}" name="2006-2008" dataDxfId="677"/>
    <tableColumn id="3" xr3:uid="{00000000-0010-0000-D800-000003000000}" name="2008-2010" dataDxfId="676"/>
    <tableColumn id="4" xr3:uid="{00000000-0010-0000-D800-000004000000}" name="2010-2012" dataDxfId="675"/>
    <tableColumn id="5" xr3:uid="{00000000-0010-0000-D800-000005000000}" name="2012-2014" dataDxfId="674"/>
    <tableColumn id="6" xr3:uid="{00000000-0010-0000-D800-000006000000}" name="2014-2016" dataDxfId="673"/>
    <tableColumn id="7" xr3:uid="{00000000-0010-0000-D800-000007000000}" name="2016-2018" dataDxfId="672"/>
    <tableColumn id="8" xr3:uid="{00000000-0010-0000-D800-000008000000}" name="2018-2020" dataDxfId="671"/>
    <tableColumn id="9" xr3:uid="{00000000-0010-0000-D800-000009000000}" name="2020-2022" dataDxfId="670"/>
  </tableColumns>
  <tableStyleInfo name="TableStyleLight1" showFirstColumn="1" showLastColumn="0" showRowStripes="0"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2" xr:uid="{00000000-000C-0000-FFFF-FFFFD9000000}" name="table65d" displayName="table65d" ref="A21:I24" totalsRowShown="0" headerRowDxfId="658" dataDxfId="657">
  <tableColumns count="9">
    <tableColumn id="1" xr3:uid="{00000000-0010-0000-D900-000001000000}" name="Group" dataDxfId="667"/>
    <tableColumn id="2" xr3:uid="{00000000-0010-0000-D900-000002000000}" name="2006-2008" dataDxfId="666"/>
    <tableColumn id="3" xr3:uid="{00000000-0010-0000-D900-000003000000}" name="2008-2010" dataDxfId="665"/>
    <tableColumn id="4" xr3:uid="{00000000-0010-0000-D900-000004000000}" name="2010-2012" dataDxfId="664"/>
    <tableColumn id="5" xr3:uid="{00000000-0010-0000-D900-000005000000}" name="2012-2014" dataDxfId="663"/>
    <tableColumn id="6" xr3:uid="{00000000-0010-0000-D900-000006000000}" name="2014-2016" dataDxfId="662"/>
    <tableColumn id="7" xr3:uid="{00000000-0010-0000-D900-000007000000}" name="2016-2018" dataDxfId="661"/>
    <tableColumn id="8" xr3:uid="{00000000-0010-0000-D900-000008000000}" name="2018-2020" dataDxfId="660"/>
    <tableColumn id="9" xr3:uid="{00000000-0010-0000-D900-000009000000}" name="2020-2022" dataDxfId="659"/>
  </tableColumns>
  <tableStyleInfo name="TableStyleLight1" showFirstColumn="1" showLastColumn="0" showRowStripes="0"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3" xr:uid="{00000000-000C-0000-FFFF-FFFFDA000000}" name="table66a" displayName="table66a" ref="A7:I10" totalsRowShown="0" headerRowDxfId="647" dataDxfId="646">
  <tableColumns count="9">
    <tableColumn id="1" xr3:uid="{00000000-0010-0000-DA00-000001000000}" name="Group" dataDxfId="656"/>
    <tableColumn id="2" xr3:uid="{00000000-0010-0000-DA00-000002000000}" name="2006-2008" dataDxfId="655"/>
    <tableColumn id="3" xr3:uid="{00000000-0010-0000-DA00-000003000000}" name="2008-2010" dataDxfId="654"/>
    <tableColumn id="4" xr3:uid="{00000000-0010-0000-DA00-000004000000}" name="2010-2012" dataDxfId="653"/>
    <tableColumn id="5" xr3:uid="{00000000-0010-0000-DA00-000005000000}" name="2012-2014" dataDxfId="652"/>
    <tableColumn id="6" xr3:uid="{00000000-0010-0000-DA00-000006000000}" name="2014-2016" dataDxfId="651"/>
    <tableColumn id="7" xr3:uid="{00000000-0010-0000-DA00-000007000000}" name="2016-2018" dataDxfId="650"/>
    <tableColumn id="8" xr3:uid="{00000000-0010-0000-DA00-000008000000}" name="2018-2020" dataDxfId="649"/>
    <tableColumn id="9" xr3:uid="{00000000-0010-0000-DA00-000009000000}" name="2020-2022" dataDxfId="648"/>
  </tableColumns>
  <tableStyleInfo name="TableStyleLight1" showFirstColumn="1" showLastColumn="0" showRowStripes="0"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4" xr:uid="{00000000-000C-0000-FFFF-FFFFDB000000}" name="table66b" displayName="table66b" ref="A12:I15" totalsRowShown="0" headerRowDxfId="636" dataDxfId="635">
  <tableColumns count="9">
    <tableColumn id="1" xr3:uid="{00000000-0010-0000-DB00-000001000000}" name="Group" dataDxfId="645"/>
    <tableColumn id="2" xr3:uid="{00000000-0010-0000-DB00-000002000000}" name="2006-2008" dataDxfId="644"/>
    <tableColumn id="3" xr3:uid="{00000000-0010-0000-DB00-000003000000}" name="2008-2010" dataDxfId="643"/>
    <tableColumn id="4" xr3:uid="{00000000-0010-0000-DB00-000004000000}" name="2010-2012" dataDxfId="642"/>
    <tableColumn id="5" xr3:uid="{00000000-0010-0000-DB00-000005000000}" name="2012-2014" dataDxfId="641"/>
    <tableColumn id="6" xr3:uid="{00000000-0010-0000-DB00-000006000000}" name="2014-2016" dataDxfId="640"/>
    <tableColumn id="7" xr3:uid="{00000000-0010-0000-DB00-000007000000}" name="2016-2018" dataDxfId="639"/>
    <tableColumn id="8" xr3:uid="{00000000-0010-0000-DB00-000008000000}" name="2018-2020" dataDxfId="638"/>
    <tableColumn id="9" xr3:uid="{00000000-0010-0000-DB00-000009000000}" name="2020-2022" dataDxfId="637"/>
  </tableColumns>
  <tableStyleInfo name="TableStyleLight1" showFirstColumn="1" showLastColumn="0" showRowStripes="0"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5" xr:uid="{00000000-000C-0000-FFFF-FFFFDC000000}" name="table66c" displayName="table66c" ref="A17:I20" totalsRowShown="0" headerRowDxfId="625" dataDxfId="624">
  <tableColumns count="9">
    <tableColumn id="1" xr3:uid="{00000000-0010-0000-DC00-000001000000}" name="Group" dataDxfId="634"/>
    <tableColumn id="2" xr3:uid="{00000000-0010-0000-DC00-000002000000}" name="2006-2008" dataDxfId="633"/>
    <tableColumn id="3" xr3:uid="{00000000-0010-0000-DC00-000003000000}" name="2008-2010" dataDxfId="632"/>
    <tableColumn id="4" xr3:uid="{00000000-0010-0000-DC00-000004000000}" name="2010-2012" dataDxfId="631"/>
    <tableColumn id="5" xr3:uid="{00000000-0010-0000-DC00-000005000000}" name="2012-2014" dataDxfId="630"/>
    <tableColumn id="6" xr3:uid="{00000000-0010-0000-DC00-000006000000}" name="2014-2016" dataDxfId="629"/>
    <tableColumn id="7" xr3:uid="{00000000-0010-0000-DC00-000007000000}" name="2016-2018" dataDxfId="628"/>
    <tableColumn id="8" xr3:uid="{00000000-0010-0000-DC00-000008000000}" name="2018-2020" dataDxfId="627"/>
    <tableColumn id="9" xr3:uid="{00000000-0010-0000-DC00-000009000000}" name="2020-2022" dataDxfId="626"/>
  </tableColumns>
  <tableStyleInfo name="TableStyleLight1" showFirstColumn="1" showLastColumn="0" showRowStripes="0"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6" xr:uid="{00000000-000C-0000-FFFF-FFFFDD000000}" name="table66d" displayName="table66d" ref="A22:I25" totalsRowShown="0" headerRowDxfId="614" dataDxfId="613">
  <tableColumns count="9">
    <tableColumn id="1" xr3:uid="{00000000-0010-0000-DD00-000001000000}" name="Group" dataDxfId="623"/>
    <tableColumn id="2" xr3:uid="{00000000-0010-0000-DD00-000002000000}" name="2006-2008" dataDxfId="622"/>
    <tableColumn id="3" xr3:uid="{00000000-0010-0000-DD00-000003000000}" name="2008-2010" dataDxfId="621"/>
    <tableColumn id="4" xr3:uid="{00000000-0010-0000-DD00-000004000000}" name="2010-2012" dataDxfId="620"/>
    <tableColumn id="5" xr3:uid="{00000000-0010-0000-DD00-000005000000}" name="2012-2014" dataDxfId="619"/>
    <tableColumn id="6" xr3:uid="{00000000-0010-0000-DD00-000006000000}" name="2014-2016" dataDxfId="618"/>
    <tableColumn id="7" xr3:uid="{00000000-0010-0000-DD00-000007000000}" name="2016-2018" dataDxfId="617"/>
    <tableColumn id="8" xr3:uid="{00000000-0010-0000-DD00-000008000000}" name="2018-2020" dataDxfId="616"/>
    <tableColumn id="9" xr3:uid="{00000000-0010-0000-DD00-000009000000}" name="2020-2022" dataDxfId="615"/>
  </tableColumns>
  <tableStyleInfo name="TableStyleLight1" showFirstColumn="1" showLastColumn="0" showRowStripes="0"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7" xr:uid="{00000000-000C-0000-FFFF-FFFFDE000000}" name="table67a" displayName="table67a" ref="A6:I9" totalsRowShown="0" headerRowDxfId="603" dataDxfId="602">
  <tableColumns count="9">
    <tableColumn id="1" xr3:uid="{00000000-0010-0000-DE00-000001000000}" name="Group" dataDxfId="612"/>
    <tableColumn id="2" xr3:uid="{00000000-0010-0000-DE00-000002000000}" name="2006-2008" dataDxfId="611"/>
    <tableColumn id="3" xr3:uid="{00000000-0010-0000-DE00-000003000000}" name="2008-2010" dataDxfId="610"/>
    <tableColumn id="4" xr3:uid="{00000000-0010-0000-DE00-000004000000}" name="2010-2012" dataDxfId="609"/>
    <tableColumn id="5" xr3:uid="{00000000-0010-0000-DE00-000005000000}" name="2012-2014" dataDxfId="608"/>
    <tableColumn id="6" xr3:uid="{00000000-0010-0000-DE00-000006000000}" name="2014-2016" dataDxfId="607"/>
    <tableColumn id="7" xr3:uid="{00000000-0010-0000-DE00-000007000000}" name="2016-2018" dataDxfId="606"/>
    <tableColumn id="8" xr3:uid="{00000000-0010-0000-DE00-000008000000}" name="2018-2020" dataDxfId="605"/>
    <tableColumn id="9" xr3:uid="{00000000-0010-0000-DE00-000009000000}" name="2020-2022" dataDxfId="604"/>
  </tableColumns>
  <tableStyleInfo name="TableStyleLight1" showFirstColumn="1" showLastColumn="0" showRowStripes="0"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8" xr:uid="{00000000-000C-0000-FFFF-FFFFDF000000}" name="table67b" displayName="table67b" ref="A11:I14" totalsRowShown="0" headerRowDxfId="592" dataDxfId="591">
  <tableColumns count="9">
    <tableColumn id="1" xr3:uid="{00000000-0010-0000-DF00-000001000000}" name="Group" dataDxfId="601"/>
    <tableColumn id="2" xr3:uid="{00000000-0010-0000-DF00-000002000000}" name="2006-2008" dataDxfId="600"/>
    <tableColumn id="3" xr3:uid="{00000000-0010-0000-DF00-000003000000}" name="2008-2010" dataDxfId="599"/>
    <tableColumn id="4" xr3:uid="{00000000-0010-0000-DF00-000004000000}" name="2010-2012" dataDxfId="598"/>
    <tableColumn id="5" xr3:uid="{00000000-0010-0000-DF00-000005000000}" name="2012-2014" dataDxfId="597"/>
    <tableColumn id="6" xr3:uid="{00000000-0010-0000-DF00-000006000000}" name="2014-2016" dataDxfId="596"/>
    <tableColumn id="7" xr3:uid="{00000000-0010-0000-DF00-000007000000}" name="2016-2018" dataDxfId="595"/>
    <tableColumn id="8" xr3:uid="{00000000-0010-0000-DF00-000008000000}" name="2018-2020" dataDxfId="594"/>
    <tableColumn id="9" xr3:uid="{00000000-0010-0000-DF00-000009000000}" name="2020-2022" dataDxfId="593"/>
  </tableColumns>
  <tableStyleInfo name="TableStyleLight1" showFirstColumn="1" showLastColumn="0" showRowStripes="0"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9" xr:uid="{00000000-000C-0000-FFFF-FFFFE0000000}" name="table67c" displayName="table67c" ref="A16:I19" totalsRowShown="0" headerRowDxfId="581" dataDxfId="580">
  <tableColumns count="9">
    <tableColumn id="1" xr3:uid="{00000000-0010-0000-E000-000001000000}" name="Group" dataDxfId="590"/>
    <tableColumn id="2" xr3:uid="{00000000-0010-0000-E000-000002000000}" name="2006-2008" dataDxfId="589"/>
    <tableColumn id="3" xr3:uid="{00000000-0010-0000-E000-000003000000}" name="2008-2010" dataDxfId="588"/>
    <tableColumn id="4" xr3:uid="{00000000-0010-0000-E000-000004000000}" name="2010-2012" dataDxfId="587"/>
    <tableColumn id="5" xr3:uid="{00000000-0010-0000-E000-000005000000}" name="2012-2014" dataDxfId="586"/>
    <tableColumn id="6" xr3:uid="{00000000-0010-0000-E000-000006000000}" name="2014-2016" dataDxfId="585"/>
    <tableColumn id="7" xr3:uid="{00000000-0010-0000-E000-000007000000}" name="2016-2018" dataDxfId="584"/>
    <tableColumn id="8" xr3:uid="{00000000-0010-0000-E000-000008000000}" name="2018-2020" dataDxfId="583"/>
    <tableColumn id="9" xr3:uid="{00000000-0010-0000-E000-000009000000}" name="2020-2022" dataDxfId="582"/>
  </tableColumns>
  <tableStyleInfo name="TableStyleLight1" showFirstColumn="1" showLastColumn="0" showRowStripes="0"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0" xr:uid="{00000000-000C-0000-FFFF-FFFFE1000000}" name="table67d" displayName="table67d" ref="A21:I24" totalsRowShown="0" headerRowDxfId="570" dataDxfId="569">
  <tableColumns count="9">
    <tableColumn id="1" xr3:uid="{00000000-0010-0000-E100-000001000000}" name="Group" dataDxfId="579"/>
    <tableColumn id="2" xr3:uid="{00000000-0010-0000-E100-000002000000}" name="2006-2008" dataDxfId="578"/>
    <tableColumn id="3" xr3:uid="{00000000-0010-0000-E100-000003000000}" name="2008-2010" dataDxfId="577"/>
    <tableColumn id="4" xr3:uid="{00000000-0010-0000-E100-000004000000}" name="2010-2012" dataDxfId="576"/>
    <tableColumn id="5" xr3:uid="{00000000-0010-0000-E100-000005000000}" name="2012-2014" dataDxfId="575"/>
    <tableColumn id="6" xr3:uid="{00000000-0010-0000-E100-000006000000}" name="2014-2016" dataDxfId="574"/>
    <tableColumn id="7" xr3:uid="{00000000-0010-0000-E100-000007000000}" name="2016-2018" dataDxfId="573"/>
    <tableColumn id="8" xr3:uid="{00000000-0010-0000-E100-000008000000}" name="2018-2020" dataDxfId="572"/>
    <tableColumn id="9" xr3:uid="{00000000-0010-0000-E100-000009000000}" name="2020-2022" dataDxfId="571"/>
  </tableColumns>
  <tableStyleInfo name="TableStyleLight1" showFirstColumn="1" showLastColumn="0" showRowStripes="0"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1" xr:uid="{00000000-000C-0000-FFFF-FFFFE2000000}" name="table68a" displayName="table68a" ref="A7:K8" totalsRowShown="0" headerRowDxfId="557" dataDxfId="556">
  <tableColumns count="11">
    <tableColumn id="1" xr3:uid="{00000000-0010-0000-E200-000001000000}" name="Period" dataDxfId="568"/>
    <tableColumn id="2" xr3:uid="{00000000-0010-0000-E200-000002000000}" name="1" dataDxfId="567"/>
    <tableColumn id="3" xr3:uid="{00000000-0010-0000-E200-000003000000}" name="2" dataDxfId="566"/>
    <tableColumn id="4" xr3:uid="{00000000-0010-0000-E200-000004000000}" name="3" dataDxfId="565"/>
    <tableColumn id="5" xr3:uid="{00000000-0010-0000-E200-000005000000}" name="4" dataDxfId="564"/>
    <tableColumn id="6" xr3:uid="{00000000-0010-0000-E200-000006000000}" name="5" dataDxfId="563"/>
    <tableColumn id="7" xr3:uid="{00000000-0010-0000-E200-000007000000}" name="6" dataDxfId="562"/>
    <tableColumn id="8" xr3:uid="{00000000-0010-0000-E200-000008000000}" name="7" dataDxfId="561"/>
    <tableColumn id="9" xr3:uid="{00000000-0010-0000-E200-000009000000}" name="8" dataDxfId="560"/>
    <tableColumn id="10" xr3:uid="{00000000-0010-0000-E200-00000A000000}" name="9" dataDxfId="559"/>
    <tableColumn id="11" xr3:uid="{00000000-0010-0000-E200-00000B000000}" name="10" dataDxfId="558"/>
  </tableColumns>
  <tableStyleInfo name="TableStyleLight1" showFirstColumn="1" showLastColumn="0" showRowStripes="0"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2" xr:uid="{00000000-000C-0000-FFFF-FFFFE3000000}" name="table68b" displayName="table68b" ref="A10:K11" totalsRowShown="0" headerRowDxfId="544" dataDxfId="543">
  <tableColumns count="11">
    <tableColumn id="1" xr3:uid="{00000000-0010-0000-E300-000001000000}" name="Period" dataDxfId="555"/>
    <tableColumn id="2" xr3:uid="{00000000-0010-0000-E300-000002000000}" name="1" dataDxfId="554"/>
    <tableColumn id="3" xr3:uid="{00000000-0010-0000-E300-000003000000}" name="2" dataDxfId="553"/>
    <tableColumn id="4" xr3:uid="{00000000-0010-0000-E300-000004000000}" name="3" dataDxfId="552"/>
    <tableColumn id="5" xr3:uid="{00000000-0010-0000-E300-000005000000}" name="4" dataDxfId="551"/>
    <tableColumn id="6" xr3:uid="{00000000-0010-0000-E300-000006000000}" name="5" dataDxfId="550"/>
    <tableColumn id="7" xr3:uid="{00000000-0010-0000-E300-000007000000}" name="6" dataDxfId="549"/>
    <tableColumn id="8" xr3:uid="{00000000-0010-0000-E300-000008000000}" name="7" dataDxfId="548"/>
    <tableColumn id="9" xr3:uid="{00000000-0010-0000-E300-000009000000}" name="8" dataDxfId="547"/>
    <tableColumn id="10" xr3:uid="{00000000-0010-0000-E300-00000A000000}" name="9" dataDxfId="546"/>
    <tableColumn id="11" xr3:uid="{00000000-0010-0000-E300-00000B000000}" name="10" dataDxfId="545"/>
  </tableColumns>
  <tableStyleInfo name="TableStyleLight1" showFirstColumn="1" showLastColumn="0" showRowStripes="0"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3" xr:uid="{00000000-000C-0000-FFFF-FFFFE4000000}" name="table68c" displayName="table68c" ref="A13:K14" totalsRowShown="0" headerRowDxfId="531" dataDxfId="530">
  <tableColumns count="11">
    <tableColumn id="1" xr3:uid="{00000000-0010-0000-E400-000001000000}" name="Period" dataDxfId="542"/>
    <tableColumn id="2" xr3:uid="{00000000-0010-0000-E400-000002000000}" name="1" dataDxfId="541"/>
    <tableColumn id="3" xr3:uid="{00000000-0010-0000-E400-000003000000}" name="2" dataDxfId="540"/>
    <tableColumn id="4" xr3:uid="{00000000-0010-0000-E400-000004000000}" name="3" dataDxfId="539"/>
    <tableColumn id="5" xr3:uid="{00000000-0010-0000-E400-000005000000}" name="4" dataDxfId="538"/>
    <tableColumn id="6" xr3:uid="{00000000-0010-0000-E400-000006000000}" name="5" dataDxfId="537"/>
    <tableColumn id="7" xr3:uid="{00000000-0010-0000-E400-000007000000}" name="6" dataDxfId="536"/>
    <tableColumn id="8" xr3:uid="{00000000-0010-0000-E400-000008000000}" name="7" dataDxfId="535"/>
    <tableColumn id="9" xr3:uid="{00000000-0010-0000-E400-000009000000}" name="8" dataDxfId="534"/>
    <tableColumn id="10" xr3:uid="{00000000-0010-0000-E400-00000A000000}" name="9" dataDxfId="533"/>
    <tableColumn id="11" xr3:uid="{00000000-0010-0000-E400-00000B000000}" name="10" dataDxfId="532"/>
  </tableColumns>
  <tableStyleInfo name="TableStyleLight1" showFirstColumn="1" showLastColumn="0" showRowStripes="0"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4" xr:uid="{00000000-000C-0000-FFFF-FFFFE5000000}" name="table69a" displayName="table69a" ref="A7:J18" totalsRowShown="0" headerRowDxfId="519" dataDxfId="518">
  <tableColumns count="10">
    <tableColumn id="1" xr3:uid="{00000000-0010-0000-E500-000001000000}" name="Decile" dataDxfId="529"/>
    <tableColumn id="2" xr3:uid="{00000000-0010-0000-E500-000002000000}" name="2006-2008" dataDxfId="528"/>
    <tableColumn id="3" xr3:uid="{00000000-0010-0000-E500-000003000000}" name="2008-2010" dataDxfId="527"/>
    <tableColumn id="4" xr3:uid="{00000000-0010-0000-E500-000004000000}" name="2010-2012" dataDxfId="526"/>
    <tableColumn id="5" xr3:uid="{00000000-0010-0000-E500-000005000000}" name="2012-2014" dataDxfId="525"/>
    <tableColumn id="6" xr3:uid="{00000000-0010-0000-E500-000006000000}" name="2014-2016" dataDxfId="524"/>
    <tableColumn id="7" xr3:uid="{00000000-0010-0000-E500-000007000000}" name="2016-2018" dataDxfId="523"/>
    <tableColumn id="8" xr3:uid="{00000000-0010-0000-E500-000008000000}" name="2018-2020" dataDxfId="522"/>
    <tableColumn id="9" xr3:uid="{00000000-0010-0000-E500-000009000000}" name=" " dataDxfId="521"/>
    <tableColumn id="10" xr3:uid="{00000000-0010-0000-E500-00000A000000}" name="2020-2022" dataDxfId="520"/>
  </tableColumns>
  <tableStyleInfo name="TableStyleLight1" showFirstColumn="1" showLastColumn="0" showRowStripes="0"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5" xr:uid="{00000000-000C-0000-FFFF-FFFFE6000000}" name="table69b" displayName="table69b" ref="A20:J31" totalsRowShown="0" headerRowDxfId="507" dataDxfId="506">
  <tableColumns count="10">
    <tableColumn id="1" xr3:uid="{00000000-0010-0000-E600-000001000000}" name="Decile" dataDxfId="517"/>
    <tableColumn id="2" xr3:uid="{00000000-0010-0000-E600-000002000000}" name="2006-2008" dataDxfId="516"/>
    <tableColumn id="3" xr3:uid="{00000000-0010-0000-E600-000003000000}" name="2008-2010" dataDxfId="515"/>
    <tableColumn id="4" xr3:uid="{00000000-0010-0000-E600-000004000000}" name="2010-2012" dataDxfId="514"/>
    <tableColumn id="5" xr3:uid="{00000000-0010-0000-E600-000005000000}" name="2012-2014" dataDxfId="513"/>
    <tableColumn id="6" xr3:uid="{00000000-0010-0000-E600-000006000000}" name="2014-2016" dataDxfId="512"/>
    <tableColumn id="7" xr3:uid="{00000000-0010-0000-E600-000007000000}" name="2016-2018" dataDxfId="511"/>
    <tableColumn id="8" xr3:uid="{00000000-0010-0000-E600-000008000000}" name="2018-2020" dataDxfId="510"/>
    <tableColumn id="9" xr3:uid="{00000000-0010-0000-E600-000009000000}" name=" " dataDxfId="509"/>
    <tableColumn id="10" xr3:uid="{00000000-0010-0000-E600-00000A000000}" name="2020-2022" dataDxfId="508"/>
  </tableColumns>
  <tableStyleInfo name="TableStyleLight1" showFirstColumn="1" showLastColumn="0" showRowStripes="0"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6" xr:uid="{00000000-000C-0000-FFFF-FFFFE7000000}" name="table69c" displayName="table69c" ref="A33:J44" totalsRowShown="0" headerRowDxfId="495" dataDxfId="494">
  <tableColumns count="10">
    <tableColumn id="1" xr3:uid="{00000000-0010-0000-E700-000001000000}" name="Decile" dataDxfId="505"/>
    <tableColumn id="2" xr3:uid="{00000000-0010-0000-E700-000002000000}" name="2006-2008" dataDxfId="504"/>
    <tableColumn id="3" xr3:uid="{00000000-0010-0000-E700-000003000000}" name="2008-2010" dataDxfId="503"/>
    <tableColumn id="4" xr3:uid="{00000000-0010-0000-E700-000004000000}" name="2010-2012" dataDxfId="502"/>
    <tableColumn id="5" xr3:uid="{00000000-0010-0000-E700-000005000000}" name="2012-2014" dataDxfId="501"/>
    <tableColumn id="6" xr3:uid="{00000000-0010-0000-E700-000006000000}" name="2014-2016" dataDxfId="500"/>
    <tableColumn id="7" xr3:uid="{00000000-0010-0000-E700-000007000000}" name="2016-2018" dataDxfId="499"/>
    <tableColumn id="8" xr3:uid="{00000000-0010-0000-E700-000008000000}" name="2018-2020" dataDxfId="498"/>
    <tableColumn id="9" xr3:uid="{00000000-0010-0000-E700-000009000000}" name=" " dataDxfId="497"/>
    <tableColumn id="10" xr3:uid="{00000000-0010-0000-E700-00000A000000}" name="2020-2022" dataDxfId="496"/>
  </tableColumns>
  <tableStyleInfo name="TableStyleLight1" showFirstColumn="1" showLastColumn="0" showRowStripes="0"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7" xr:uid="{00000000-000C-0000-FFFF-FFFFE8000000}" name="table70a" displayName="table70a" ref="A6:G8" totalsRowShown="0" headerRowDxfId="486" dataDxfId="485">
  <tableColumns count="7">
    <tableColumn id="1" xr3:uid="{00000000-0010-0000-E800-000001000000}" name="Group" dataDxfId="493"/>
    <tableColumn id="2" xr3:uid="{00000000-0010-0000-E800-000002000000}" name="16-34" dataDxfId="492"/>
    <tableColumn id="3" xr3:uid="{00000000-0010-0000-E800-000003000000}" name="35-44" dataDxfId="491"/>
    <tableColumn id="4" xr3:uid="{00000000-0010-0000-E800-000004000000}" name="45-54" dataDxfId="490"/>
    <tableColumn id="5" xr3:uid="{00000000-0010-0000-E800-000005000000}" name="55-64" dataDxfId="489"/>
    <tableColumn id="6" xr3:uid="{00000000-0010-0000-E800-000006000000}" name="65-74" dataDxfId="488"/>
    <tableColumn id="7" xr3:uid="{00000000-0010-0000-E800-000007000000}" name="75+" dataDxfId="487"/>
  </tableColumns>
  <tableStyleInfo name="TableStyleLight1" showFirstColumn="1" showLastColumn="0" showRowStripes="0"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8" xr:uid="{00000000-000C-0000-FFFF-FFFFE9000000}" name="table70b" displayName="table70b" ref="A10:G12" totalsRowShown="0" headerRowDxfId="477" dataDxfId="476">
  <tableColumns count="7">
    <tableColumn id="1" xr3:uid="{00000000-0010-0000-E900-000001000000}" name="Group" dataDxfId="484"/>
    <tableColumn id="2" xr3:uid="{00000000-0010-0000-E900-000002000000}" name="16-34" dataDxfId="483"/>
    <tableColumn id="3" xr3:uid="{00000000-0010-0000-E900-000003000000}" name="35-44" dataDxfId="482"/>
    <tableColumn id="4" xr3:uid="{00000000-0010-0000-E900-000004000000}" name="45-54" dataDxfId="481"/>
    <tableColumn id="5" xr3:uid="{00000000-0010-0000-E900-000005000000}" name="55-64" dataDxfId="480"/>
    <tableColumn id="6" xr3:uid="{00000000-0010-0000-E900-000006000000}" name="65-74" dataDxfId="479"/>
    <tableColumn id="7" xr3:uid="{00000000-0010-0000-E900-000007000000}" name="75+" dataDxfId="478"/>
  </tableColumns>
  <tableStyleInfo name="TableStyleLight1" showFirstColumn="1" showLastColumn="0" showRowStripes="0"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9" xr:uid="{00000000-000C-0000-FFFF-FFFFEA000000}" name="table71a" displayName="table71a" ref="A6:I8" totalsRowShown="0" headerRowDxfId="466" dataDxfId="465">
  <tableColumns count="9">
    <tableColumn id="1" xr3:uid="{00000000-0010-0000-EA00-000001000000}" name="Group" dataDxfId="475"/>
    <tableColumn id="2" xr3:uid="{00000000-0010-0000-EA00-000002000000}" name="2006-2008" dataDxfId="474"/>
    <tableColumn id="3" xr3:uid="{00000000-0010-0000-EA00-000003000000}" name="2008-2010" dataDxfId="473"/>
    <tableColumn id="4" xr3:uid="{00000000-0010-0000-EA00-000004000000}" name="2010-2012" dataDxfId="472"/>
    <tableColumn id="5" xr3:uid="{00000000-0010-0000-EA00-000005000000}" name="2012-2014" dataDxfId="471"/>
    <tableColumn id="6" xr3:uid="{00000000-0010-0000-EA00-000006000000}" name="2014-2016" dataDxfId="470"/>
    <tableColumn id="7" xr3:uid="{00000000-0010-0000-EA00-000007000000}" name="2016-2018" dataDxfId="469"/>
    <tableColumn id="8" xr3:uid="{00000000-0010-0000-EA00-000008000000}" name="2018-2020" dataDxfId="468"/>
    <tableColumn id="9" xr3:uid="{00000000-0010-0000-EA00-000009000000}" name="2020-2022" dataDxfId="467"/>
  </tableColumns>
  <tableStyleInfo name="TableStyleLight1" showFirstColumn="1" showLastColumn="0" showRowStripes="0"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0" xr:uid="{00000000-000C-0000-FFFF-FFFFEB000000}" name="table71b" displayName="table71b" ref="A10:I12" totalsRowShown="0" headerRowDxfId="455" dataDxfId="454">
  <tableColumns count="9">
    <tableColumn id="1" xr3:uid="{00000000-0010-0000-EB00-000001000000}" name="Group" dataDxfId="464"/>
    <tableColumn id="2" xr3:uid="{00000000-0010-0000-EB00-000002000000}" name="2006-2008" dataDxfId="463"/>
    <tableColumn id="3" xr3:uid="{00000000-0010-0000-EB00-000003000000}" name="2008-2010" dataDxfId="462"/>
    <tableColumn id="4" xr3:uid="{00000000-0010-0000-EB00-000004000000}" name="2010-2012" dataDxfId="461"/>
    <tableColumn id="5" xr3:uid="{00000000-0010-0000-EB00-000005000000}" name="2012-2014" dataDxfId="460"/>
    <tableColumn id="6" xr3:uid="{00000000-0010-0000-EB00-000006000000}" name="2014-2016" dataDxfId="459"/>
    <tableColumn id="7" xr3:uid="{00000000-0010-0000-EB00-000007000000}" name="2016-2018" dataDxfId="458"/>
    <tableColumn id="8" xr3:uid="{00000000-0010-0000-EB00-000008000000}" name="2018-2020" dataDxfId="457"/>
    <tableColumn id="9" xr3:uid="{00000000-0010-0000-EB00-000009000000}" name="2020-2022" dataDxfId="456"/>
  </tableColumns>
  <tableStyleInfo name="TableStyleLight1" showFirstColumn="1" showLastColumn="0" showRowStripes="0"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1" xr:uid="{00000000-000C-0000-FFFF-FFFFEC000000}" name="table71c" displayName="table71c" ref="A14:I16" totalsRowShown="0" headerRowDxfId="444" dataDxfId="443">
  <tableColumns count="9">
    <tableColumn id="1" xr3:uid="{00000000-0010-0000-EC00-000001000000}" name="Group" dataDxfId="453"/>
    <tableColumn id="2" xr3:uid="{00000000-0010-0000-EC00-000002000000}" name="2006-2008" dataDxfId="452"/>
    <tableColumn id="3" xr3:uid="{00000000-0010-0000-EC00-000003000000}" name="2008-2010" dataDxfId="451"/>
    <tableColumn id="4" xr3:uid="{00000000-0010-0000-EC00-000004000000}" name="2010-2012" dataDxfId="450"/>
    <tableColumn id="5" xr3:uid="{00000000-0010-0000-EC00-000005000000}" name="2012-2014" dataDxfId="449"/>
    <tableColumn id="6" xr3:uid="{00000000-0010-0000-EC00-000006000000}" name="2014-2016" dataDxfId="448"/>
    <tableColumn id="7" xr3:uid="{00000000-0010-0000-EC00-000007000000}" name="2016-2018" dataDxfId="447"/>
    <tableColumn id="8" xr3:uid="{00000000-0010-0000-EC00-000008000000}" name="2018-2020" dataDxfId="446"/>
    <tableColumn id="9" xr3:uid="{00000000-0010-0000-EC00-000009000000}" name="2020-2022" dataDxfId="445"/>
  </tableColumns>
  <tableStyleInfo name="TableStyleLight1" showFirstColumn="1" showLastColumn="0" showRowStripes="0"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2" xr:uid="{00000000-000C-0000-FFFF-FFFFED000000}" name="table72a" displayName="table72a" ref="A7:G9" totalsRowShown="0" headerRowDxfId="435" dataDxfId="434">
  <tableColumns count="7">
    <tableColumn id="1" xr3:uid="{00000000-0010-0000-ED00-000001000000}" name="Group" dataDxfId="442"/>
    <tableColumn id="2" xr3:uid="{00000000-0010-0000-ED00-000002000000}" name="16-34" dataDxfId="441"/>
    <tableColumn id="3" xr3:uid="{00000000-0010-0000-ED00-000003000000}" name="35-44" dataDxfId="440"/>
    <tableColumn id="4" xr3:uid="{00000000-0010-0000-ED00-000004000000}" name="45-54" dataDxfId="439"/>
    <tableColumn id="5" xr3:uid="{00000000-0010-0000-ED00-000005000000}" name="55-64" dataDxfId="438"/>
    <tableColumn id="6" xr3:uid="{00000000-0010-0000-ED00-000006000000}" name="65-74" dataDxfId="437"/>
    <tableColumn id="7" xr3:uid="{00000000-0010-0000-ED00-000007000000}" name="75+" dataDxfId="436"/>
  </tableColumns>
  <tableStyleInfo name="TableStyleLight1" showFirstColumn="1" showLastColumn="0" showRowStripes="0"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3" xr:uid="{00000000-000C-0000-FFFF-FFFFEE000000}" name="table72b" displayName="table72b" ref="A11:G13" totalsRowShown="0" headerRowDxfId="426" dataDxfId="425">
  <tableColumns count="7">
    <tableColumn id="1" xr3:uid="{00000000-0010-0000-EE00-000001000000}" name="Group" dataDxfId="433"/>
    <tableColumn id="2" xr3:uid="{00000000-0010-0000-EE00-000002000000}" name="16-34" dataDxfId="432"/>
    <tableColumn id="3" xr3:uid="{00000000-0010-0000-EE00-000003000000}" name="35-44" dataDxfId="431"/>
    <tableColumn id="4" xr3:uid="{00000000-0010-0000-EE00-000004000000}" name="45-54" dataDxfId="430"/>
    <tableColumn id="5" xr3:uid="{00000000-0010-0000-EE00-000005000000}" name="55-64" dataDxfId="429"/>
    <tableColumn id="6" xr3:uid="{00000000-0010-0000-EE00-000006000000}" name="65-74" dataDxfId="428"/>
    <tableColumn id="7" xr3:uid="{00000000-0010-0000-EE00-000007000000}" name="75+" dataDxfId="427"/>
  </tableColumns>
  <tableStyleInfo name="TableStyleLight1" showFirstColumn="1" showLastColumn="0" showRowStripes="0"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4" xr:uid="{00000000-000C-0000-FFFF-FFFFEF000000}" name="table73a" displayName="table73a" ref="A6:I8" totalsRowShown="0" headerRowDxfId="415" dataDxfId="414">
  <tableColumns count="9">
    <tableColumn id="1" xr3:uid="{00000000-0010-0000-EF00-000001000000}" name="Group" dataDxfId="424"/>
    <tableColumn id="2" xr3:uid="{00000000-0010-0000-EF00-000002000000}" name="2006-2008" dataDxfId="423"/>
    <tableColumn id="3" xr3:uid="{00000000-0010-0000-EF00-000003000000}" name="2008-2010" dataDxfId="422"/>
    <tableColumn id="4" xr3:uid="{00000000-0010-0000-EF00-000004000000}" name="2010-2012" dataDxfId="421"/>
    <tableColumn id="5" xr3:uid="{00000000-0010-0000-EF00-000005000000}" name="2012-2014" dataDxfId="420"/>
    <tableColumn id="6" xr3:uid="{00000000-0010-0000-EF00-000006000000}" name="2014-2016" dataDxfId="419"/>
    <tableColumn id="7" xr3:uid="{00000000-0010-0000-EF00-000007000000}" name="2016-2018" dataDxfId="418"/>
    <tableColumn id="8" xr3:uid="{00000000-0010-0000-EF00-000008000000}" name="2018-2020" dataDxfId="417"/>
    <tableColumn id="9" xr3:uid="{00000000-0010-0000-EF00-000009000000}" name="2020-2022" dataDxfId="416"/>
  </tableColumns>
  <tableStyleInfo name="TableStyleLight1" showFirstColumn="1" showLastColumn="0" showRowStripes="0"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5" xr:uid="{00000000-000C-0000-FFFF-FFFFF0000000}" name="table73b" displayName="table73b" ref="A10:I12" totalsRowShown="0" headerRowDxfId="404" dataDxfId="403">
  <tableColumns count="9">
    <tableColumn id="1" xr3:uid="{00000000-0010-0000-F000-000001000000}" name="Group" dataDxfId="413"/>
    <tableColumn id="2" xr3:uid="{00000000-0010-0000-F000-000002000000}" name="2006-2008" dataDxfId="412"/>
    <tableColumn id="3" xr3:uid="{00000000-0010-0000-F000-000003000000}" name="2008-2010" dataDxfId="411"/>
    <tableColumn id="4" xr3:uid="{00000000-0010-0000-F000-000004000000}" name="2010-2012" dataDxfId="410"/>
    <tableColumn id="5" xr3:uid="{00000000-0010-0000-F000-000005000000}" name="2012-2014" dataDxfId="409"/>
    <tableColumn id="6" xr3:uid="{00000000-0010-0000-F000-000006000000}" name="2014-2016" dataDxfId="408"/>
    <tableColumn id="7" xr3:uid="{00000000-0010-0000-F000-000007000000}" name="2016-2018" dataDxfId="407"/>
    <tableColumn id="8" xr3:uid="{00000000-0010-0000-F000-000008000000}" name="2018-2020" dataDxfId="406"/>
    <tableColumn id="9" xr3:uid="{00000000-0010-0000-F000-000009000000}" name="2020-2022" dataDxfId="405"/>
  </tableColumns>
  <tableStyleInfo name="TableStyleLight1" showFirstColumn="1" showLastColumn="0" showRowStripes="0"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6" xr:uid="{00000000-000C-0000-FFFF-FFFFF1000000}" name="table73c" displayName="table73c" ref="A14:I16" totalsRowShown="0" headerRowDxfId="393" dataDxfId="392">
  <tableColumns count="9">
    <tableColumn id="1" xr3:uid="{00000000-0010-0000-F100-000001000000}" name="Group" dataDxfId="402"/>
    <tableColumn id="2" xr3:uid="{00000000-0010-0000-F100-000002000000}" name="2006-2008" dataDxfId="401"/>
    <tableColumn id="3" xr3:uid="{00000000-0010-0000-F100-000003000000}" name="2008-2010" dataDxfId="400"/>
    <tableColumn id="4" xr3:uid="{00000000-0010-0000-F100-000004000000}" name="2010-2012" dataDxfId="399"/>
    <tableColumn id="5" xr3:uid="{00000000-0010-0000-F100-000005000000}" name="2012-2014" dataDxfId="398"/>
    <tableColumn id="6" xr3:uid="{00000000-0010-0000-F100-000006000000}" name="2014-2016" dataDxfId="397"/>
    <tableColumn id="7" xr3:uid="{00000000-0010-0000-F100-000007000000}" name="2016-2018" dataDxfId="396"/>
    <tableColumn id="8" xr3:uid="{00000000-0010-0000-F100-000008000000}" name="2018-2020" dataDxfId="395"/>
    <tableColumn id="9" xr3:uid="{00000000-0010-0000-F100-000009000000}" name="2020-2022" dataDxfId="394"/>
  </tableColumns>
  <tableStyleInfo name="TableStyleLight1" showFirstColumn="1" showLastColumn="0" showRowStripes="0"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7" xr:uid="{00000000-000C-0000-FFFF-FFFFF2000000}" name="table74a" displayName="table74a" ref="A7:E13" totalsRowShown="0" headerRowDxfId="386" dataDxfId="385">
  <tableColumns count="5">
    <tableColumn id="1" xr3:uid="{00000000-0010-0000-F200-000001000000}" name="Group" dataDxfId="391"/>
    <tableColumn id="2" xr3:uid="{00000000-0010-0000-F200-000002000000}" name="2014-2016" dataDxfId="390"/>
    <tableColumn id="3" xr3:uid="{00000000-0010-0000-F200-000003000000}" name="2016-2018" dataDxfId="389"/>
    <tableColumn id="4" xr3:uid="{00000000-0010-0000-F200-000004000000}" name="2018-2020" dataDxfId="388"/>
    <tableColumn id="5" xr3:uid="{00000000-0010-0000-F200-000005000000}" name="2020-2022" dataDxfId="387"/>
  </tableColumns>
  <tableStyleInfo name="TableStyleLight1" showFirstColumn="1" showLastColumn="0" showRowStripes="0"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8" xr:uid="{00000000-000C-0000-FFFF-FFFFF3000000}" name="table74b" displayName="table74b" ref="A15:E21" totalsRowShown="0" headerRowDxfId="379" dataDxfId="378">
  <tableColumns count="5">
    <tableColumn id="1" xr3:uid="{00000000-0010-0000-F300-000001000000}" name="Group" dataDxfId="384"/>
    <tableColumn id="2" xr3:uid="{00000000-0010-0000-F300-000002000000}" name="2014-2016" dataDxfId="383"/>
    <tableColumn id="3" xr3:uid="{00000000-0010-0000-F300-000003000000}" name="2016-2018" dataDxfId="382"/>
    <tableColumn id="4" xr3:uid="{00000000-0010-0000-F300-000004000000}" name="2018-2020" dataDxfId="381"/>
    <tableColumn id="5" xr3:uid="{00000000-0010-0000-F300-000005000000}" name="2020-2022" dataDxfId="380"/>
  </tableColumns>
  <tableStyleInfo name="TableStyleLight1" showFirstColumn="1" showLastColumn="0" showRowStripes="0"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9" xr:uid="{00000000-000C-0000-FFFF-FFFFF4000000}" name="table74c" displayName="table74c" ref="A23:E29" totalsRowShown="0" headerRowDxfId="372" dataDxfId="371">
  <tableColumns count="5">
    <tableColumn id="1" xr3:uid="{00000000-0010-0000-F400-000001000000}" name="Group" dataDxfId="377"/>
    <tableColumn id="2" xr3:uid="{00000000-0010-0000-F400-000002000000}" name="2014-2016" dataDxfId="376"/>
    <tableColumn id="3" xr3:uid="{00000000-0010-0000-F400-000003000000}" name="2016-2018" dataDxfId="375"/>
    <tableColumn id="4" xr3:uid="{00000000-0010-0000-F400-000004000000}" name="2018-2020" dataDxfId="374"/>
    <tableColumn id="5" xr3:uid="{00000000-0010-0000-F400-000005000000}" name="2020-2022" dataDxfId="373"/>
  </tableColumns>
  <tableStyleInfo name="TableStyleLight1" showFirstColumn="1" showLastColumn="0" showRowStripes="0"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0" xr:uid="{00000000-000C-0000-FFFF-FFFFF5000000}" name="table74d" displayName="table74d" ref="A31:E37" totalsRowShown="0" headerRowDxfId="365" dataDxfId="364">
  <tableColumns count="5">
    <tableColumn id="1" xr3:uid="{00000000-0010-0000-F500-000001000000}" name="Group" dataDxfId="370"/>
    <tableColumn id="2" xr3:uid="{00000000-0010-0000-F500-000002000000}" name="2014-2016" dataDxfId="369"/>
    <tableColumn id="3" xr3:uid="{00000000-0010-0000-F500-000003000000}" name="2016-2018" dataDxfId="368"/>
    <tableColumn id="4" xr3:uid="{00000000-0010-0000-F500-000004000000}" name="2018-2020" dataDxfId="367"/>
    <tableColumn id="5" xr3:uid="{00000000-0010-0000-F500-000005000000}" name="2020-2022" dataDxfId="366"/>
  </tableColumns>
  <tableStyleInfo name="TableStyleLight1" showFirstColumn="1" showLastColumn="0" showRowStripes="0"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1" xr:uid="{00000000-000C-0000-FFFF-FFFFF6000000}" name="table75a" displayName="table75a" ref="A6:I10" totalsRowShown="0" headerRowDxfId="354" dataDxfId="353">
  <tableColumns count="9">
    <tableColumn id="1" xr3:uid="{00000000-0010-0000-F600-000001000000}" name="Group" dataDxfId="363"/>
    <tableColumn id="2" xr3:uid="{00000000-0010-0000-F600-000002000000}" name="2006-2008" dataDxfId="362"/>
    <tableColumn id="3" xr3:uid="{00000000-0010-0000-F600-000003000000}" name="2008-2010" dataDxfId="361"/>
    <tableColumn id="4" xr3:uid="{00000000-0010-0000-F600-000004000000}" name="2010-2012" dataDxfId="360"/>
    <tableColumn id="5" xr3:uid="{00000000-0010-0000-F600-000005000000}" name="2012-2014" dataDxfId="359"/>
    <tableColumn id="6" xr3:uid="{00000000-0010-0000-F600-000006000000}" name="2014-2016" dataDxfId="358"/>
    <tableColumn id="7" xr3:uid="{00000000-0010-0000-F600-000007000000}" name="2016-2018" dataDxfId="357"/>
    <tableColumn id="8" xr3:uid="{00000000-0010-0000-F600-000008000000}" name="2018-2020" dataDxfId="356"/>
    <tableColumn id="9" xr3:uid="{00000000-0010-0000-F600-000009000000}" name="2020-2022" dataDxfId="355"/>
  </tableColumns>
  <tableStyleInfo name="TableStyleLight1" showFirstColumn="1" showLastColumn="0" showRowStripes="0"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2" xr:uid="{00000000-000C-0000-FFFF-FFFFF7000000}" name="table75b" displayName="table75b" ref="A12:I16" totalsRowShown="0" headerRowDxfId="343" dataDxfId="342">
  <tableColumns count="9">
    <tableColumn id="1" xr3:uid="{00000000-0010-0000-F700-000001000000}" name="Group" dataDxfId="352"/>
    <tableColumn id="2" xr3:uid="{00000000-0010-0000-F700-000002000000}" name="2006-2008" dataDxfId="351"/>
    <tableColumn id="3" xr3:uid="{00000000-0010-0000-F700-000003000000}" name="2008-2010" dataDxfId="350"/>
    <tableColumn id="4" xr3:uid="{00000000-0010-0000-F700-000004000000}" name="2010-2012" dataDxfId="349"/>
    <tableColumn id="5" xr3:uid="{00000000-0010-0000-F700-000005000000}" name="2012-2014" dataDxfId="348"/>
    <tableColumn id="6" xr3:uid="{00000000-0010-0000-F700-000006000000}" name="2014-2016" dataDxfId="347"/>
    <tableColumn id="7" xr3:uid="{00000000-0010-0000-F700-000007000000}" name="2016-2018" dataDxfId="346"/>
    <tableColumn id="8" xr3:uid="{00000000-0010-0000-F700-000008000000}" name="2018-2020" dataDxfId="345"/>
    <tableColumn id="9" xr3:uid="{00000000-0010-0000-F700-000009000000}" name="2020-2022" dataDxfId="344"/>
  </tableColumns>
  <tableStyleInfo name="TableStyleLight1" showFirstColumn="1" showLastColumn="0" showRowStripes="0"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3" xr:uid="{00000000-000C-0000-FFFF-FFFFF8000000}" name="table75c" displayName="table75c" ref="A18:I22" totalsRowShown="0" headerRowDxfId="332" dataDxfId="331">
  <tableColumns count="9">
    <tableColumn id="1" xr3:uid="{00000000-0010-0000-F800-000001000000}" name="Group" dataDxfId="341"/>
    <tableColumn id="2" xr3:uid="{00000000-0010-0000-F800-000002000000}" name="2006-2008" dataDxfId="340"/>
    <tableColumn id="3" xr3:uid="{00000000-0010-0000-F800-000003000000}" name="2008-2010" dataDxfId="339"/>
    <tableColumn id="4" xr3:uid="{00000000-0010-0000-F800-000004000000}" name="2010-2012" dataDxfId="338"/>
    <tableColumn id="5" xr3:uid="{00000000-0010-0000-F800-000005000000}" name="2012-2014" dataDxfId="337"/>
    <tableColumn id="6" xr3:uid="{00000000-0010-0000-F800-000006000000}" name="2014-2016" dataDxfId="336"/>
    <tableColumn id="7" xr3:uid="{00000000-0010-0000-F800-000007000000}" name="2016-2018" dataDxfId="335"/>
    <tableColumn id="8" xr3:uid="{00000000-0010-0000-F800-000008000000}" name="2018-2020" dataDxfId="334"/>
    <tableColumn id="9" xr3:uid="{00000000-0010-0000-F800-000009000000}" name="2020-2022" dataDxfId="333"/>
  </tableColumns>
  <tableStyleInfo name="TableStyleLight1" showFirstColumn="1" showLastColumn="0" showRowStripes="0"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4" xr:uid="{00000000-000C-0000-FFFF-FFFFF9000000}" name="table75d" displayName="table75d" ref="A24:I28" totalsRowShown="0" headerRowDxfId="321" dataDxfId="320">
  <tableColumns count="9">
    <tableColumn id="1" xr3:uid="{00000000-0010-0000-F900-000001000000}" name="Group" dataDxfId="330"/>
    <tableColumn id="2" xr3:uid="{00000000-0010-0000-F900-000002000000}" name="2006-2008" dataDxfId="329"/>
    <tableColumn id="3" xr3:uid="{00000000-0010-0000-F900-000003000000}" name="2008-2010" dataDxfId="328"/>
    <tableColumn id="4" xr3:uid="{00000000-0010-0000-F900-000004000000}" name="2010-2012" dataDxfId="327"/>
    <tableColumn id="5" xr3:uid="{00000000-0010-0000-F900-000005000000}" name="2012-2014" dataDxfId="326"/>
    <tableColumn id="6" xr3:uid="{00000000-0010-0000-F900-000006000000}" name="2014-2016" dataDxfId="325"/>
    <tableColumn id="7" xr3:uid="{00000000-0010-0000-F900-000007000000}" name="2016-2018" dataDxfId="324"/>
    <tableColumn id="8" xr3:uid="{00000000-0010-0000-F900-000008000000}" name="2018-2020" dataDxfId="323"/>
    <tableColumn id="9" xr3:uid="{00000000-0010-0000-F900-000009000000}" name="2020-2022" dataDxfId="322"/>
  </tableColumns>
  <tableStyleInfo name="TableStyleLight1" showFirstColumn="1" showLastColumn="0" showRowStripes="0"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5" xr:uid="{00000000-000C-0000-FFFF-FFFFFA000000}" name="table76a" displayName="table76a" ref="A7:E15" totalsRowShown="0" headerRowDxfId="314" dataDxfId="313">
  <tableColumns count="5">
    <tableColumn id="1" xr3:uid="{00000000-0010-0000-FA00-000001000000}" name="Group" dataDxfId="319"/>
    <tableColumn id="2" xr3:uid="{00000000-0010-0000-FA00-000002000000}" name="2014-2016" dataDxfId="318"/>
    <tableColumn id="3" xr3:uid="{00000000-0010-0000-FA00-000003000000}" name="2016-2018" dataDxfId="317"/>
    <tableColumn id="4" xr3:uid="{00000000-0010-0000-FA00-000004000000}" name="2018-2020" dataDxfId="316"/>
    <tableColumn id="5" xr3:uid="{00000000-0010-0000-FA00-000005000000}" name="2020-2022" dataDxfId="315"/>
  </tableColumns>
  <tableStyleInfo name="TableStyleLight1" showFirstColumn="1" showLastColumn="0" showRowStripes="0"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6" xr:uid="{00000000-000C-0000-FFFF-FFFFFB000000}" name="table76b" displayName="table76b" ref="A17:E25" totalsRowShown="0" headerRowDxfId="307" dataDxfId="306">
  <tableColumns count="5">
    <tableColumn id="1" xr3:uid="{00000000-0010-0000-FB00-000001000000}" name="Group" dataDxfId="312"/>
    <tableColumn id="2" xr3:uid="{00000000-0010-0000-FB00-000002000000}" name="2014-2016" dataDxfId="311"/>
    <tableColumn id="3" xr3:uid="{00000000-0010-0000-FB00-000003000000}" name="2016-2018" dataDxfId="310"/>
    <tableColumn id="4" xr3:uid="{00000000-0010-0000-FB00-000004000000}" name="2018-2020" dataDxfId="309"/>
    <tableColumn id="5" xr3:uid="{00000000-0010-0000-FB00-000005000000}" name="2020-2022" dataDxfId="308"/>
  </tableColumns>
  <tableStyleInfo name="TableStyleLight1" showFirstColumn="1" showLastColumn="0" showRowStripes="0"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7" xr:uid="{00000000-000C-0000-FFFF-FFFFFC000000}" name="table76c" displayName="table76c" ref="A27:E35" totalsRowShown="0" headerRowDxfId="300" dataDxfId="299">
  <tableColumns count="5">
    <tableColumn id="1" xr3:uid="{00000000-0010-0000-FC00-000001000000}" name="Group" dataDxfId="305"/>
    <tableColumn id="2" xr3:uid="{00000000-0010-0000-FC00-000002000000}" name="2014-2016" dataDxfId="304"/>
    <tableColumn id="3" xr3:uid="{00000000-0010-0000-FC00-000003000000}" name="2016-2018" dataDxfId="303"/>
    <tableColumn id="4" xr3:uid="{00000000-0010-0000-FC00-000004000000}" name="2018-2020" dataDxfId="302"/>
    <tableColumn id="5" xr3:uid="{00000000-0010-0000-FC00-000005000000}" name="2020-2022" dataDxfId="301"/>
  </tableColumns>
  <tableStyleInfo name="TableStyleLight1" showFirstColumn="1" showLastColumn="0" showRowStripes="0"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8" xr:uid="{00000000-000C-0000-FFFF-FFFFFD000000}" name="table76d" displayName="table76d" ref="A37:E45" totalsRowShown="0" headerRowDxfId="293" dataDxfId="292">
  <tableColumns count="5">
    <tableColumn id="1" xr3:uid="{00000000-0010-0000-FD00-000001000000}" name="Group" dataDxfId="298"/>
    <tableColumn id="2" xr3:uid="{00000000-0010-0000-FD00-000002000000}" name="2014-2016" dataDxfId="297"/>
    <tableColumn id="3" xr3:uid="{00000000-0010-0000-FD00-000003000000}" name="2016-2018" dataDxfId="296"/>
    <tableColumn id="4" xr3:uid="{00000000-0010-0000-FD00-000004000000}" name="2018-2020" dataDxfId="295"/>
    <tableColumn id="5" xr3:uid="{00000000-0010-0000-FD00-000005000000}" name="2020-2022" dataDxfId="294"/>
  </tableColumns>
  <tableStyleInfo name="TableStyleLight1" showFirstColumn="1" showLastColumn="0" showRowStripes="0"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9" xr:uid="{00000000-000C-0000-FFFF-FFFFFE000000}" name="table77a" displayName="table77a" ref="A9:E12" totalsRowShown="0" headerRowDxfId="286" dataDxfId="285">
  <tableColumns count="5">
    <tableColumn id="1" xr3:uid="{00000000-0010-0000-FE00-000001000000}" name="Group" dataDxfId="291"/>
    <tableColumn id="2" xr3:uid="{00000000-0010-0000-FE00-000002000000}" name="2014-2016" dataDxfId="290"/>
    <tableColumn id="3" xr3:uid="{00000000-0010-0000-FE00-000003000000}" name="2016-2018" dataDxfId="289"/>
    <tableColumn id="4" xr3:uid="{00000000-0010-0000-FE00-000004000000}" name="2018-2020" dataDxfId="288"/>
    <tableColumn id="5" xr3:uid="{00000000-0010-0000-FE00-000005000000}" name="2020-2022" dataDxfId="287"/>
  </tableColumns>
  <tableStyleInfo name="TableStyleLight1" showFirstColumn="1" showLastColumn="0" showRowStripes="0"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0" xr:uid="{00000000-000C-0000-FFFF-FFFFFF000000}" name="table77b" displayName="table77b" ref="A14:E17" totalsRowShown="0" headerRowDxfId="279" dataDxfId="278">
  <tableColumns count="5">
    <tableColumn id="1" xr3:uid="{00000000-0010-0000-FF00-000001000000}" name="Group" dataDxfId="284"/>
    <tableColumn id="2" xr3:uid="{00000000-0010-0000-FF00-000002000000}" name="2014-2016" dataDxfId="283"/>
    <tableColumn id="3" xr3:uid="{00000000-0010-0000-FF00-000003000000}" name="2016-2018" dataDxfId="282"/>
    <tableColumn id="4" xr3:uid="{00000000-0010-0000-FF00-000004000000}" name="2018-2020" dataDxfId="281"/>
    <tableColumn id="5" xr3:uid="{00000000-0010-0000-FF00-000005000000}" name="2020-2022" dataDxfId="280"/>
  </tableColumns>
  <tableStyleInfo name="TableStyleLight1" showFirstColumn="1" showLastColumn="0" showRowStripes="0"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1" xr:uid="{00000000-000C-0000-FFFF-FFFF00010000}" name="table77c" displayName="table77c" ref="A19:E22" totalsRowShown="0" headerRowDxfId="272" dataDxfId="271">
  <tableColumns count="5">
    <tableColumn id="1" xr3:uid="{00000000-0010-0000-0001-000001000000}" name="Group" dataDxfId="277"/>
    <tableColumn id="2" xr3:uid="{00000000-0010-0000-0001-000002000000}" name="2014-2016" dataDxfId="276"/>
    <tableColumn id="3" xr3:uid="{00000000-0010-0000-0001-000003000000}" name="2016-2018" dataDxfId="275"/>
    <tableColumn id="4" xr3:uid="{00000000-0010-0000-0001-000004000000}" name="2018-2020" dataDxfId="274"/>
    <tableColumn id="5" xr3:uid="{00000000-0010-0000-0001-000005000000}" name="2020-2022" dataDxfId="273"/>
  </tableColumns>
  <tableStyleInfo name="TableStyleLight1" showFirstColumn="1" showLastColumn="0" showRowStripes="0"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2" xr:uid="{00000000-000C-0000-FFFF-FFFF01010000}" name="table77d" displayName="table77d" ref="A24:E27" totalsRowShown="0" headerRowDxfId="265" dataDxfId="264">
  <tableColumns count="5">
    <tableColumn id="1" xr3:uid="{00000000-0010-0000-0101-000001000000}" name="Group" dataDxfId="270"/>
    <tableColumn id="2" xr3:uid="{00000000-0010-0000-0101-000002000000}" name="2014-2016" dataDxfId="269"/>
    <tableColumn id="3" xr3:uid="{00000000-0010-0000-0101-000003000000}" name="2016-2018" dataDxfId="268"/>
    <tableColumn id="4" xr3:uid="{00000000-0010-0000-0101-000004000000}" name="2018-2020" dataDxfId="267"/>
    <tableColumn id="5" xr3:uid="{00000000-0010-0000-0101-000005000000}" name="2020-2022" dataDxfId="266"/>
  </tableColumns>
  <tableStyleInfo name="TableStyleLight1" showFirstColumn="1" showLastColumn="0" showRowStripes="0"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3" xr:uid="{00000000-000C-0000-FFFF-FFFF02010000}" name="table78a" displayName="table78a" ref="A7:I13" totalsRowShown="0" headerRowDxfId="254" dataDxfId="253">
  <tableColumns count="9">
    <tableColumn id="1" xr3:uid="{00000000-0010-0000-0201-000001000000}" name="Group" dataDxfId="263"/>
    <tableColumn id="2" xr3:uid="{00000000-0010-0000-0201-000002000000}" name="2006-2008" dataDxfId="262"/>
    <tableColumn id="3" xr3:uid="{00000000-0010-0000-0201-000003000000}" name="2008-2010" dataDxfId="261"/>
    <tableColumn id="4" xr3:uid="{00000000-0010-0000-0201-000004000000}" name="2010-2012" dataDxfId="260"/>
    <tableColumn id="5" xr3:uid="{00000000-0010-0000-0201-000005000000}" name="2012-2014" dataDxfId="259"/>
    <tableColumn id="6" xr3:uid="{00000000-0010-0000-0201-000006000000}" name="2014-2016" dataDxfId="258"/>
    <tableColumn id="7" xr3:uid="{00000000-0010-0000-0201-000007000000}" name="2016-2018" dataDxfId="257"/>
    <tableColumn id="8" xr3:uid="{00000000-0010-0000-0201-000008000000}" name="2018-2020" dataDxfId="256"/>
    <tableColumn id="9" xr3:uid="{00000000-0010-0000-0201-000009000000}" name="2020-2022" dataDxfId="255"/>
  </tableColumns>
  <tableStyleInfo name="TableStyleLight1" showFirstColumn="1" showLastColumn="0" showRowStripes="0"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4" xr:uid="{00000000-000C-0000-FFFF-FFFF03010000}" name="table78b" displayName="table78b" ref="A15:I21" totalsRowShown="0" headerRowDxfId="243" dataDxfId="242">
  <tableColumns count="9">
    <tableColumn id="1" xr3:uid="{00000000-0010-0000-0301-000001000000}" name="Group" dataDxfId="252"/>
    <tableColumn id="2" xr3:uid="{00000000-0010-0000-0301-000002000000}" name="2006-2008" dataDxfId="251"/>
    <tableColumn id="3" xr3:uid="{00000000-0010-0000-0301-000003000000}" name="2008-2010" dataDxfId="250"/>
    <tableColumn id="4" xr3:uid="{00000000-0010-0000-0301-000004000000}" name="2010-2012" dataDxfId="249"/>
    <tableColumn id="5" xr3:uid="{00000000-0010-0000-0301-000005000000}" name="2012-2014" dataDxfId="248"/>
    <tableColumn id="6" xr3:uid="{00000000-0010-0000-0301-000006000000}" name="2014-2016" dataDxfId="247"/>
    <tableColumn id="7" xr3:uid="{00000000-0010-0000-0301-000007000000}" name="2016-2018" dataDxfId="246"/>
    <tableColumn id="8" xr3:uid="{00000000-0010-0000-0301-000008000000}" name="2018-2020" dataDxfId="245"/>
    <tableColumn id="9" xr3:uid="{00000000-0010-0000-0301-000009000000}" name="2020-2022" dataDxfId="244"/>
  </tableColumns>
  <tableStyleInfo name="TableStyleLight1" showFirstColumn="1" showLastColumn="0" showRowStripes="0"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5" xr:uid="{00000000-000C-0000-FFFF-FFFF04010000}" name="table78c" displayName="table78c" ref="A23:I29" totalsRowShown="0" headerRowDxfId="232" dataDxfId="231">
  <tableColumns count="9">
    <tableColumn id="1" xr3:uid="{00000000-0010-0000-0401-000001000000}" name="Group" dataDxfId="241"/>
    <tableColumn id="2" xr3:uid="{00000000-0010-0000-0401-000002000000}" name="2006-2008" dataDxfId="240"/>
    <tableColumn id="3" xr3:uid="{00000000-0010-0000-0401-000003000000}" name="2008-2010" dataDxfId="239"/>
    <tableColumn id="4" xr3:uid="{00000000-0010-0000-0401-000004000000}" name="2010-2012" dataDxfId="238"/>
    <tableColumn id="5" xr3:uid="{00000000-0010-0000-0401-000005000000}" name="2012-2014" dataDxfId="237"/>
    <tableColumn id="6" xr3:uid="{00000000-0010-0000-0401-000006000000}" name="2014-2016" dataDxfId="236"/>
    <tableColumn id="7" xr3:uid="{00000000-0010-0000-0401-000007000000}" name="2016-2018" dataDxfId="235"/>
    <tableColumn id="8" xr3:uid="{00000000-0010-0000-0401-000008000000}" name="2018-2020" dataDxfId="234"/>
    <tableColumn id="9" xr3:uid="{00000000-0010-0000-0401-000009000000}" name="2020-2022" dataDxfId="233"/>
  </tableColumns>
  <tableStyleInfo name="TableStyleLight1" showFirstColumn="1" showLastColumn="0" showRowStripes="0"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6" xr:uid="{00000000-000C-0000-FFFF-FFFF05010000}" name="table78d" displayName="table78d" ref="A31:I37" totalsRowShown="0" headerRowDxfId="221" dataDxfId="220">
  <tableColumns count="9">
    <tableColumn id="1" xr3:uid="{00000000-0010-0000-0501-000001000000}" name="Group" dataDxfId="230"/>
    <tableColumn id="2" xr3:uid="{00000000-0010-0000-0501-000002000000}" name="2006-2008" dataDxfId="229"/>
    <tableColumn id="3" xr3:uid="{00000000-0010-0000-0501-000003000000}" name="2008-2010" dataDxfId="228"/>
    <tableColumn id="4" xr3:uid="{00000000-0010-0000-0501-000004000000}" name="2010-2012" dataDxfId="227"/>
    <tableColumn id="5" xr3:uid="{00000000-0010-0000-0501-000005000000}" name="2012-2014" dataDxfId="226"/>
    <tableColumn id="6" xr3:uid="{00000000-0010-0000-0501-000006000000}" name="2014-2016" dataDxfId="225"/>
    <tableColumn id="7" xr3:uid="{00000000-0010-0000-0501-000007000000}" name="2016-2018" dataDxfId="224"/>
    <tableColumn id="8" xr3:uid="{00000000-0010-0000-0501-000008000000}" name="2018-2020" dataDxfId="223"/>
    <tableColumn id="9" xr3:uid="{00000000-0010-0000-0501-000009000000}" name="2020-2022" dataDxfId="222"/>
  </tableColumns>
  <tableStyleInfo name="TableStyleLight1" showFirstColumn="1" showLastColumn="0" showRowStripes="0"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7" xr:uid="{00000000-000C-0000-FFFF-FFFF06010000}" name="table79a" displayName="table79a" ref="A6:I13" totalsRowShown="0" headerRowDxfId="210" dataDxfId="209">
  <tableColumns count="9">
    <tableColumn id="1" xr3:uid="{00000000-0010-0000-0601-000001000000}" name="Group" dataDxfId="219"/>
    <tableColumn id="2" xr3:uid="{00000000-0010-0000-0601-000002000000}" name="2006-2008" dataDxfId="218"/>
    <tableColumn id="3" xr3:uid="{00000000-0010-0000-0601-000003000000}" name="2008-2010" dataDxfId="217"/>
    <tableColumn id="4" xr3:uid="{00000000-0010-0000-0601-000004000000}" name="2010-2012" dataDxfId="216"/>
    <tableColumn id="5" xr3:uid="{00000000-0010-0000-0601-000005000000}" name="2012-2014" dataDxfId="215"/>
    <tableColumn id="6" xr3:uid="{00000000-0010-0000-0601-000006000000}" name="2014-2016" dataDxfId="214"/>
    <tableColumn id="7" xr3:uid="{00000000-0010-0000-0601-000007000000}" name="2016-2018" dataDxfId="213"/>
    <tableColumn id="8" xr3:uid="{00000000-0010-0000-0601-000008000000}" name="2018-2020" dataDxfId="212"/>
    <tableColumn id="9" xr3:uid="{00000000-0010-0000-0601-000009000000}" name="2020-2022" dataDxfId="211"/>
  </tableColumns>
  <tableStyleInfo name="TableStyleLight1" showFirstColumn="1" showLastColumn="0" showRowStripes="0"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8" xr:uid="{00000000-000C-0000-FFFF-FFFF07010000}" name="table79b" displayName="table79b" ref="A15:I22" totalsRowShown="0" headerRowDxfId="199" dataDxfId="198">
  <tableColumns count="9">
    <tableColumn id="1" xr3:uid="{00000000-0010-0000-0701-000001000000}" name="Group" dataDxfId="208"/>
    <tableColumn id="2" xr3:uid="{00000000-0010-0000-0701-000002000000}" name="2006-2008" dataDxfId="207"/>
    <tableColumn id="3" xr3:uid="{00000000-0010-0000-0701-000003000000}" name="2008-2010" dataDxfId="206"/>
    <tableColumn id="4" xr3:uid="{00000000-0010-0000-0701-000004000000}" name="2010-2012" dataDxfId="205"/>
    <tableColumn id="5" xr3:uid="{00000000-0010-0000-0701-000005000000}" name="2012-2014" dataDxfId="204"/>
    <tableColumn id="6" xr3:uid="{00000000-0010-0000-0701-000006000000}" name="2014-2016" dataDxfId="203"/>
    <tableColumn id="7" xr3:uid="{00000000-0010-0000-0701-000007000000}" name="2016-2018" dataDxfId="202"/>
    <tableColumn id="8" xr3:uid="{00000000-0010-0000-0701-000008000000}" name="2018-2020" dataDxfId="201"/>
    <tableColumn id="9" xr3:uid="{00000000-0010-0000-0701-000009000000}" name="2020-2022" dataDxfId="200"/>
  </tableColumns>
  <tableStyleInfo name="TableStyleLight1" showFirstColumn="1" showLastColumn="0" showRowStripes="0"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9" xr:uid="{00000000-000C-0000-FFFF-FFFF08010000}" name="table79c" displayName="table79c" ref="A24:I31" totalsRowShown="0" headerRowDxfId="188" dataDxfId="187">
  <tableColumns count="9">
    <tableColumn id="1" xr3:uid="{00000000-0010-0000-0801-000001000000}" name="Group" dataDxfId="197"/>
    <tableColumn id="2" xr3:uid="{00000000-0010-0000-0801-000002000000}" name="2006-2008" dataDxfId="196"/>
    <tableColumn id="3" xr3:uid="{00000000-0010-0000-0801-000003000000}" name="2008-2010" dataDxfId="195"/>
    <tableColumn id="4" xr3:uid="{00000000-0010-0000-0801-000004000000}" name="2010-2012" dataDxfId="194"/>
    <tableColumn id="5" xr3:uid="{00000000-0010-0000-0801-000005000000}" name="2012-2014" dataDxfId="193"/>
    <tableColumn id="6" xr3:uid="{00000000-0010-0000-0801-000006000000}" name="2014-2016" dataDxfId="192"/>
    <tableColumn id="7" xr3:uid="{00000000-0010-0000-0801-000007000000}" name="2016-2018" dataDxfId="191"/>
    <tableColumn id="8" xr3:uid="{00000000-0010-0000-0801-000008000000}" name="2018-2020" dataDxfId="190"/>
    <tableColumn id="9" xr3:uid="{00000000-0010-0000-0801-000009000000}" name="2020-2022" dataDxfId="189"/>
  </tableColumns>
  <tableStyleInfo name="TableStyleLight1" showFirstColumn="1" showLastColumn="0" showRowStripes="0"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0" xr:uid="{00000000-000C-0000-FFFF-FFFF09010000}" name="table79d" displayName="table79d" ref="A33:I40" totalsRowShown="0" headerRowDxfId="177" dataDxfId="176">
  <tableColumns count="9">
    <tableColumn id="1" xr3:uid="{00000000-0010-0000-0901-000001000000}" name="Group" dataDxfId="186"/>
    <tableColumn id="2" xr3:uid="{00000000-0010-0000-0901-000002000000}" name="2006-2008" dataDxfId="185"/>
    <tableColumn id="3" xr3:uid="{00000000-0010-0000-0901-000003000000}" name="2008-2010" dataDxfId="184"/>
    <tableColumn id="4" xr3:uid="{00000000-0010-0000-0901-000004000000}" name="2010-2012" dataDxfId="183"/>
    <tableColumn id="5" xr3:uid="{00000000-0010-0000-0901-000005000000}" name="2012-2014" dataDxfId="182"/>
    <tableColumn id="6" xr3:uid="{00000000-0010-0000-0901-000006000000}" name="2014-2016" dataDxfId="181"/>
    <tableColumn id="7" xr3:uid="{00000000-0010-0000-0901-000007000000}" name="2016-2018" dataDxfId="180"/>
    <tableColumn id="8" xr3:uid="{00000000-0010-0000-0901-000008000000}" name="2018-2020" dataDxfId="179"/>
    <tableColumn id="9" xr3:uid="{00000000-0010-0000-0901-000009000000}" name="2020-2022" dataDxfId="178"/>
  </tableColumns>
  <tableStyleInfo name="TableStyleLight1" showFirstColumn="1" showLastColumn="0" showRowStripes="0"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1" xr:uid="{00000000-000C-0000-FFFF-FFFF0A010000}" name="table80a" displayName="table80a" ref="A7:I11" totalsRowShown="0" headerRowDxfId="166" dataDxfId="165">
  <tableColumns count="9">
    <tableColumn id="1" xr3:uid="{00000000-0010-0000-0A01-000001000000}" name="Group" dataDxfId="175"/>
    <tableColumn id="2" xr3:uid="{00000000-0010-0000-0A01-000002000000}" name="2006-2008" dataDxfId="174"/>
    <tableColumn id="3" xr3:uid="{00000000-0010-0000-0A01-000003000000}" name="2008-2010" dataDxfId="173"/>
    <tableColumn id="4" xr3:uid="{00000000-0010-0000-0A01-000004000000}" name="2010-2012" dataDxfId="172"/>
    <tableColumn id="5" xr3:uid="{00000000-0010-0000-0A01-000005000000}" name="2012-2014" dataDxfId="171"/>
    <tableColumn id="6" xr3:uid="{00000000-0010-0000-0A01-000006000000}" name="2014-2016" dataDxfId="170"/>
    <tableColumn id="7" xr3:uid="{00000000-0010-0000-0A01-000007000000}" name="2016-2018" dataDxfId="169"/>
    <tableColumn id="8" xr3:uid="{00000000-0010-0000-0A01-000008000000}" name="2018-2020" dataDxfId="168"/>
    <tableColumn id="9" xr3:uid="{00000000-0010-0000-0A01-000009000000}" name="2020-2022" dataDxfId="167"/>
  </tableColumns>
  <tableStyleInfo name="TableStyleLight1" showFirstColumn="1" showLastColumn="0" showRowStripes="0"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2" xr:uid="{00000000-000C-0000-FFFF-FFFF0B010000}" name="table80b" displayName="table80b" ref="A13:I17" totalsRowShown="0" headerRowDxfId="155" dataDxfId="154">
  <tableColumns count="9">
    <tableColumn id="1" xr3:uid="{00000000-0010-0000-0B01-000001000000}" name="Group" dataDxfId="164"/>
    <tableColumn id="2" xr3:uid="{00000000-0010-0000-0B01-000002000000}" name="2006-2008" dataDxfId="163"/>
    <tableColumn id="3" xr3:uid="{00000000-0010-0000-0B01-000003000000}" name="2008-2010" dataDxfId="162"/>
    <tableColumn id="4" xr3:uid="{00000000-0010-0000-0B01-000004000000}" name="2010-2012" dataDxfId="161"/>
    <tableColumn id="5" xr3:uid="{00000000-0010-0000-0B01-000005000000}" name="2012-2014" dataDxfId="160"/>
    <tableColumn id="6" xr3:uid="{00000000-0010-0000-0B01-000006000000}" name="2014-2016" dataDxfId="159"/>
    <tableColumn id="7" xr3:uid="{00000000-0010-0000-0B01-000007000000}" name="2016-2018" dataDxfId="158"/>
    <tableColumn id="8" xr3:uid="{00000000-0010-0000-0B01-000008000000}" name="2018-2020" dataDxfId="157"/>
    <tableColumn id="9" xr3:uid="{00000000-0010-0000-0B01-000009000000}" name="2020-2022" dataDxfId="156"/>
  </tableColumns>
  <tableStyleInfo name="TableStyleLight1" showFirstColumn="1" showLastColumn="0" showRowStripes="0"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3" xr:uid="{00000000-000C-0000-FFFF-FFFF0C010000}" name="table80c" displayName="table80c" ref="A19:I23" totalsRowShown="0" headerRowDxfId="144" dataDxfId="143">
  <tableColumns count="9">
    <tableColumn id="1" xr3:uid="{00000000-0010-0000-0C01-000001000000}" name="Group" dataDxfId="153"/>
    <tableColumn id="2" xr3:uid="{00000000-0010-0000-0C01-000002000000}" name="2006-2008" dataDxfId="152"/>
    <tableColumn id="3" xr3:uid="{00000000-0010-0000-0C01-000003000000}" name="2008-2010" dataDxfId="151"/>
    <tableColumn id="4" xr3:uid="{00000000-0010-0000-0C01-000004000000}" name="2010-2012" dataDxfId="150"/>
    <tableColumn id="5" xr3:uid="{00000000-0010-0000-0C01-000005000000}" name="2012-2014" dataDxfId="149"/>
    <tableColumn id="6" xr3:uid="{00000000-0010-0000-0C01-000006000000}" name="2014-2016" dataDxfId="148"/>
    <tableColumn id="7" xr3:uid="{00000000-0010-0000-0C01-000007000000}" name="2016-2018" dataDxfId="147"/>
    <tableColumn id="8" xr3:uid="{00000000-0010-0000-0C01-000008000000}" name="2018-2020" dataDxfId="146"/>
    <tableColumn id="9" xr3:uid="{00000000-0010-0000-0C01-000009000000}" name="2020-2022" dataDxfId="145"/>
  </tableColumns>
  <tableStyleInfo name="TableStyleLight1" showFirstColumn="1" showLastColumn="0" showRowStripes="0"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4" xr:uid="{00000000-000C-0000-FFFF-FFFF0D010000}" name="table80d" displayName="table80d" ref="A25:I29" totalsRowShown="0" headerRowDxfId="133" dataDxfId="132">
  <tableColumns count="9">
    <tableColumn id="1" xr3:uid="{00000000-0010-0000-0D01-000001000000}" name="Group" dataDxfId="142"/>
    <tableColumn id="2" xr3:uid="{00000000-0010-0000-0D01-000002000000}" name="2006-2008" dataDxfId="141"/>
    <tableColumn id="3" xr3:uid="{00000000-0010-0000-0D01-000003000000}" name="2008-2010" dataDxfId="140"/>
    <tableColumn id="4" xr3:uid="{00000000-0010-0000-0D01-000004000000}" name="2010-2012" dataDxfId="139"/>
    <tableColumn id="5" xr3:uid="{00000000-0010-0000-0D01-000005000000}" name="2012-2014" dataDxfId="138"/>
    <tableColumn id="6" xr3:uid="{00000000-0010-0000-0D01-000006000000}" name="2014-2016" dataDxfId="137"/>
    <tableColumn id="7" xr3:uid="{00000000-0010-0000-0D01-000007000000}" name="2016-2018" dataDxfId="136"/>
    <tableColumn id="8" xr3:uid="{00000000-0010-0000-0D01-000008000000}" name="2018-2020" dataDxfId="135"/>
    <tableColumn id="9" xr3:uid="{00000000-0010-0000-0D01-000009000000}" name="2020-2022" dataDxfId="134"/>
  </tableColumns>
  <tableStyleInfo name="TableStyleLight1" showFirstColumn="1" showLastColumn="0" showRowStripes="0"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5" xr:uid="{00000000-000C-0000-FFFF-FFFF0E010000}" name="table81a" displayName="table81a" ref="A8:I11" totalsRowShown="0" headerRowDxfId="122" dataDxfId="121">
  <tableColumns count="9">
    <tableColumn id="1" xr3:uid="{00000000-0010-0000-0E01-000001000000}" name="Group" dataDxfId="131"/>
    <tableColumn id="2" xr3:uid="{00000000-0010-0000-0E01-000002000000}" name="2006-2008" dataDxfId="130"/>
    <tableColumn id="3" xr3:uid="{00000000-0010-0000-0E01-000003000000}" name="2008-2010" dataDxfId="129"/>
    <tableColumn id="4" xr3:uid="{00000000-0010-0000-0E01-000004000000}" name="2010-2012" dataDxfId="128"/>
    <tableColumn id="5" xr3:uid="{00000000-0010-0000-0E01-000005000000}" name="2012-2014" dataDxfId="127"/>
    <tableColumn id="6" xr3:uid="{00000000-0010-0000-0E01-000006000000}" name="2014-2016" dataDxfId="126"/>
    <tableColumn id="7" xr3:uid="{00000000-0010-0000-0E01-000007000000}" name="2016-2018" dataDxfId="125"/>
    <tableColumn id="8" xr3:uid="{00000000-0010-0000-0E01-000008000000}" name="2018-2020" dataDxfId="124"/>
    <tableColumn id="9" xr3:uid="{00000000-0010-0000-0E01-000009000000}" name="2020-2022" dataDxfId="123"/>
  </tableColumns>
  <tableStyleInfo name="TableStyleLight1" showFirstColumn="1" showLastColumn="0" showRowStripes="0" showColumnStripes="0"/>
</table>
</file>

<file path=xl/tables/table2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6" xr:uid="{00000000-000C-0000-FFFF-FFFF0F010000}" name="table81b" displayName="table81b" ref="A13:I16" totalsRowShown="0" headerRowDxfId="111" dataDxfId="110">
  <tableColumns count="9">
    <tableColumn id="1" xr3:uid="{00000000-0010-0000-0F01-000001000000}" name="Group" dataDxfId="120"/>
    <tableColumn id="2" xr3:uid="{00000000-0010-0000-0F01-000002000000}" name="2006-2008" dataDxfId="119"/>
    <tableColumn id="3" xr3:uid="{00000000-0010-0000-0F01-000003000000}" name="2008-2010" dataDxfId="118"/>
    <tableColumn id="4" xr3:uid="{00000000-0010-0000-0F01-000004000000}" name="2010-2012" dataDxfId="117"/>
    <tableColumn id="5" xr3:uid="{00000000-0010-0000-0F01-000005000000}" name="2012-2014" dataDxfId="116"/>
    <tableColumn id="6" xr3:uid="{00000000-0010-0000-0F01-000006000000}" name="2014-2016" dataDxfId="115"/>
    <tableColumn id="7" xr3:uid="{00000000-0010-0000-0F01-000007000000}" name="2016-2018" dataDxfId="114"/>
    <tableColumn id="8" xr3:uid="{00000000-0010-0000-0F01-000008000000}" name="2018-2020" dataDxfId="113"/>
    <tableColumn id="9" xr3:uid="{00000000-0010-0000-0F01-000009000000}" name="2020-2022" dataDxfId="112"/>
  </tableColumns>
  <tableStyleInfo name="TableStyleLight1" showFirstColumn="1" showLastColumn="0" showRowStripes="0" showColumnStripes="0"/>
</table>
</file>

<file path=xl/tables/table2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7" xr:uid="{00000000-000C-0000-FFFF-FFFF10010000}" name="table81c" displayName="table81c" ref="A18:I21" totalsRowShown="0" headerRowDxfId="100" dataDxfId="99">
  <tableColumns count="9">
    <tableColumn id="1" xr3:uid="{00000000-0010-0000-1001-000001000000}" name="Group" dataDxfId="109"/>
    <tableColumn id="2" xr3:uid="{00000000-0010-0000-1001-000002000000}" name="2006-2008" dataDxfId="108"/>
    <tableColumn id="3" xr3:uid="{00000000-0010-0000-1001-000003000000}" name="2008-2010" dataDxfId="107"/>
    <tableColumn id="4" xr3:uid="{00000000-0010-0000-1001-000004000000}" name="2010-2012" dataDxfId="106"/>
    <tableColumn id="5" xr3:uid="{00000000-0010-0000-1001-000005000000}" name="2012-2014" dataDxfId="105"/>
    <tableColumn id="6" xr3:uid="{00000000-0010-0000-1001-000006000000}" name="2014-2016" dataDxfId="104"/>
    <tableColumn id="7" xr3:uid="{00000000-0010-0000-1001-000007000000}" name="2016-2018" dataDxfId="103"/>
    <tableColumn id="8" xr3:uid="{00000000-0010-0000-1001-000008000000}" name="2018-2020" dataDxfId="102"/>
    <tableColumn id="9" xr3:uid="{00000000-0010-0000-1001-000009000000}" name="2020-2022" dataDxfId="101"/>
  </tableColumns>
  <tableStyleInfo name="TableStyleLight1" showFirstColumn="1" showLastColumn="0" showRowStripes="0" showColumnStripes="0"/>
</table>
</file>

<file path=xl/tables/table2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8" xr:uid="{00000000-000C-0000-FFFF-FFFF11010000}" name="table81d" displayName="table81d" ref="A23:I26" totalsRowShown="0" headerRowDxfId="89" dataDxfId="88">
  <tableColumns count="9">
    <tableColumn id="1" xr3:uid="{00000000-0010-0000-1101-000001000000}" name="Group" dataDxfId="98"/>
    <tableColumn id="2" xr3:uid="{00000000-0010-0000-1101-000002000000}" name="2006-2008" dataDxfId="97"/>
    <tableColumn id="3" xr3:uid="{00000000-0010-0000-1101-000003000000}" name="2008-2010" dataDxfId="96"/>
    <tableColumn id="4" xr3:uid="{00000000-0010-0000-1101-000004000000}" name="2010-2012" dataDxfId="95"/>
    <tableColumn id="5" xr3:uid="{00000000-0010-0000-1101-000005000000}" name="2012-2014" dataDxfId="94"/>
    <tableColumn id="6" xr3:uid="{00000000-0010-0000-1101-000006000000}" name="2014-2016" dataDxfId="93"/>
    <tableColumn id="7" xr3:uid="{00000000-0010-0000-1101-000007000000}" name="2016-2018" dataDxfId="92"/>
    <tableColumn id="8" xr3:uid="{00000000-0010-0000-1101-000008000000}" name="2018-2020" dataDxfId="91"/>
    <tableColumn id="9" xr3:uid="{00000000-0010-0000-1101-000009000000}" name="2020-2022" dataDxfId="90"/>
  </tableColumns>
  <tableStyleInfo name="TableStyleLight1" showFirstColumn="1" showLastColumn="0" showRowStripes="0" showColumnStripes="0"/>
</table>
</file>

<file path=xl/tables/table2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9" xr:uid="{00000000-000C-0000-FFFF-FFFF12010000}" name="table82a" displayName="table82a" ref="A6:I9" totalsRowShown="0" headerRowDxfId="78" dataDxfId="77">
  <tableColumns count="9">
    <tableColumn id="1" xr3:uid="{00000000-0010-0000-1201-000001000000}" name="Group" dataDxfId="87"/>
    <tableColumn id="2" xr3:uid="{00000000-0010-0000-1201-000002000000}" name="2006-2008" dataDxfId="86"/>
    <tableColumn id="3" xr3:uid="{00000000-0010-0000-1201-000003000000}" name="2008-2010" dataDxfId="85"/>
    <tableColumn id="4" xr3:uid="{00000000-0010-0000-1201-000004000000}" name="2010-2012" dataDxfId="84"/>
    <tableColumn id="5" xr3:uid="{00000000-0010-0000-1201-000005000000}" name="2012-2014" dataDxfId="83"/>
    <tableColumn id="6" xr3:uid="{00000000-0010-0000-1201-000006000000}" name="2014-2016" dataDxfId="82"/>
    <tableColumn id="7" xr3:uid="{00000000-0010-0000-1201-000007000000}" name="2016-2018" dataDxfId="81"/>
    <tableColumn id="8" xr3:uid="{00000000-0010-0000-1201-000008000000}" name="2018-2020" dataDxfId="80"/>
    <tableColumn id="9" xr3:uid="{00000000-0010-0000-1201-000009000000}" name="2020-2022" dataDxfId="79"/>
  </tableColumns>
  <tableStyleInfo name="TableStyleLight1" showFirstColumn="1" showLastColumn="0" showRowStripes="0" showColumnStripes="0"/>
</table>
</file>

<file path=xl/tables/table2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0" xr:uid="{00000000-000C-0000-FFFF-FFFF13010000}" name="table82b" displayName="table82b" ref="A11:I14" totalsRowShown="0" headerRowDxfId="67" dataDxfId="66">
  <tableColumns count="9">
    <tableColumn id="1" xr3:uid="{00000000-0010-0000-1301-000001000000}" name="Group" dataDxfId="76"/>
    <tableColumn id="2" xr3:uid="{00000000-0010-0000-1301-000002000000}" name="2006-2008" dataDxfId="75"/>
    <tableColumn id="3" xr3:uid="{00000000-0010-0000-1301-000003000000}" name="2008-2010" dataDxfId="74"/>
    <tableColumn id="4" xr3:uid="{00000000-0010-0000-1301-000004000000}" name="2010-2012" dataDxfId="73"/>
    <tableColumn id="5" xr3:uid="{00000000-0010-0000-1301-000005000000}" name="2012-2014" dataDxfId="72"/>
    <tableColumn id="6" xr3:uid="{00000000-0010-0000-1301-000006000000}" name="2014-2016" dataDxfId="71"/>
    <tableColumn id="7" xr3:uid="{00000000-0010-0000-1301-000007000000}" name="2016-2018" dataDxfId="70"/>
    <tableColumn id="8" xr3:uid="{00000000-0010-0000-1301-000008000000}" name="2018-2020" dataDxfId="69"/>
    <tableColumn id="9" xr3:uid="{00000000-0010-0000-1301-000009000000}" name="2020-2022" dataDxfId="68"/>
  </tableColumns>
  <tableStyleInfo name="TableStyleLight1" showFirstColumn="1" showLastColumn="0" showRowStripes="0" showColumnStripes="0"/>
</table>
</file>

<file path=xl/tables/table2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1" xr:uid="{00000000-000C-0000-FFFF-FFFF14010000}" name="table82c" displayName="table82c" ref="A16:I19" totalsRowShown="0" headerRowDxfId="56" dataDxfId="55">
  <tableColumns count="9">
    <tableColumn id="1" xr3:uid="{00000000-0010-0000-1401-000001000000}" name="Group" dataDxfId="65"/>
    <tableColumn id="2" xr3:uid="{00000000-0010-0000-1401-000002000000}" name="2006-2008" dataDxfId="64"/>
    <tableColumn id="3" xr3:uid="{00000000-0010-0000-1401-000003000000}" name="2008-2010" dataDxfId="63"/>
    <tableColumn id="4" xr3:uid="{00000000-0010-0000-1401-000004000000}" name="2010-2012" dataDxfId="62"/>
    <tableColumn id="5" xr3:uid="{00000000-0010-0000-1401-000005000000}" name="2012-2014" dataDxfId="61"/>
    <tableColumn id="6" xr3:uid="{00000000-0010-0000-1401-000006000000}" name="2014-2016" dataDxfId="60"/>
    <tableColumn id="7" xr3:uid="{00000000-0010-0000-1401-000007000000}" name="2016-2018" dataDxfId="59"/>
    <tableColumn id="8" xr3:uid="{00000000-0010-0000-1401-000008000000}" name="2018-2020" dataDxfId="58"/>
    <tableColumn id="9" xr3:uid="{00000000-0010-0000-1401-000009000000}" name="2020-2022" dataDxfId="57"/>
  </tableColumns>
  <tableStyleInfo name="TableStyleLight1" showFirstColumn="1" showLastColumn="0" showRowStripes="0" showColumnStripes="0"/>
</table>
</file>

<file path=xl/tables/table2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2" xr:uid="{00000000-000C-0000-FFFF-FFFF15010000}" name="table82d" displayName="table82d" ref="A21:I24" totalsRowShown="0" headerRowDxfId="45" dataDxfId="44">
  <tableColumns count="9">
    <tableColumn id="1" xr3:uid="{00000000-0010-0000-1501-000001000000}" name="Group" dataDxfId="54"/>
    <tableColumn id="2" xr3:uid="{00000000-0010-0000-1501-000002000000}" name="2006-2008" dataDxfId="53"/>
    <tableColumn id="3" xr3:uid="{00000000-0010-0000-1501-000003000000}" name="2008-2010" dataDxfId="52"/>
    <tableColumn id="4" xr3:uid="{00000000-0010-0000-1501-000004000000}" name="2010-2012" dataDxfId="51"/>
    <tableColumn id="5" xr3:uid="{00000000-0010-0000-1501-000005000000}" name="2012-2014" dataDxfId="50"/>
    <tableColumn id="6" xr3:uid="{00000000-0010-0000-1501-000006000000}" name="2014-2016" dataDxfId="49"/>
    <tableColumn id="7" xr3:uid="{00000000-0010-0000-1501-000007000000}" name="2016-2018" dataDxfId="48"/>
    <tableColumn id="8" xr3:uid="{00000000-0010-0000-1501-000008000000}" name="2018-2020" dataDxfId="47"/>
    <tableColumn id="9" xr3:uid="{00000000-0010-0000-1501-000009000000}" name="2020-2022" dataDxfId="46"/>
  </tableColumns>
  <tableStyleInfo name="TableStyleLight1" showFirstColumn="1" showLastColumn="0" showRowStripes="0" showColumnStripes="0"/>
</table>
</file>

<file path=xl/tables/table2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3" xr:uid="{00000000-000C-0000-FFFF-FFFF16010000}" name="table83a" displayName="table83a" ref="A6:I9" totalsRowShown="0" headerRowDxfId="34" dataDxfId="33">
  <tableColumns count="9">
    <tableColumn id="1" xr3:uid="{00000000-0010-0000-1601-000001000000}" name="Group" dataDxfId="43"/>
    <tableColumn id="2" xr3:uid="{00000000-0010-0000-1601-000002000000}" name="2006-2008" dataDxfId="42"/>
    <tableColumn id="3" xr3:uid="{00000000-0010-0000-1601-000003000000}" name="2008-2010" dataDxfId="41"/>
    <tableColumn id="4" xr3:uid="{00000000-0010-0000-1601-000004000000}" name="2010-2012" dataDxfId="40"/>
    <tableColumn id="5" xr3:uid="{00000000-0010-0000-1601-000005000000}" name="2012-2014" dataDxfId="39"/>
    <tableColumn id="6" xr3:uid="{00000000-0010-0000-1601-000006000000}" name="2014-2016" dataDxfId="38"/>
    <tableColumn id="7" xr3:uid="{00000000-0010-0000-1601-000007000000}" name="2016-2018" dataDxfId="37"/>
    <tableColumn id="8" xr3:uid="{00000000-0010-0000-1601-000008000000}" name="2018-2020" dataDxfId="36"/>
    <tableColumn id="9" xr3:uid="{00000000-0010-0000-1601-000009000000}" name="2020-2022" dataDxfId="35"/>
  </tableColumns>
  <tableStyleInfo name="TableStyleLight1" showFirstColumn="1" showLastColumn="0" showRowStripes="0" showColumnStripes="0"/>
</table>
</file>

<file path=xl/tables/table2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4" xr:uid="{00000000-000C-0000-FFFF-FFFF17010000}" name="table83b" displayName="table83b" ref="A11:I14" totalsRowShown="0" headerRowDxfId="23" dataDxfId="22">
  <tableColumns count="9">
    <tableColumn id="1" xr3:uid="{00000000-0010-0000-1701-000001000000}" name="Group" dataDxfId="32"/>
    <tableColumn id="2" xr3:uid="{00000000-0010-0000-1701-000002000000}" name="2006-2008" dataDxfId="31"/>
    <tableColumn id="3" xr3:uid="{00000000-0010-0000-1701-000003000000}" name="2008-2010" dataDxfId="30"/>
    <tableColumn id="4" xr3:uid="{00000000-0010-0000-1701-000004000000}" name="2010-2012" dataDxfId="29"/>
    <tableColumn id="5" xr3:uid="{00000000-0010-0000-1701-000005000000}" name="2012-2014" dataDxfId="28"/>
    <tableColumn id="6" xr3:uid="{00000000-0010-0000-1701-000006000000}" name="2014-2016" dataDxfId="27"/>
    <tableColumn id="7" xr3:uid="{00000000-0010-0000-1701-000007000000}" name="2016-2018" dataDxfId="26"/>
    <tableColumn id="8" xr3:uid="{00000000-0010-0000-1701-000008000000}" name="2018-2020" dataDxfId="25"/>
    <tableColumn id="9" xr3:uid="{00000000-0010-0000-1701-000009000000}" name="2020-2022" dataDxfId="24"/>
  </tableColumns>
  <tableStyleInfo name="TableStyleLight1" showFirstColumn="1" showLastColumn="0" showRowStripes="0" showColumnStripes="0"/>
</table>
</file>

<file path=xl/tables/table2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5" xr:uid="{00000000-000C-0000-FFFF-FFFF18010000}" name="table83c" displayName="table83c" ref="A16:I19" totalsRowShown="0" headerRowDxfId="12" dataDxfId="11">
  <tableColumns count="9">
    <tableColumn id="1" xr3:uid="{00000000-0010-0000-1801-000001000000}" name="Group" dataDxfId="21"/>
    <tableColumn id="2" xr3:uid="{00000000-0010-0000-1801-000002000000}" name="2006-2008" dataDxfId="20"/>
    <tableColumn id="3" xr3:uid="{00000000-0010-0000-1801-000003000000}" name="2008-2010" dataDxfId="19"/>
    <tableColumn id="4" xr3:uid="{00000000-0010-0000-1801-000004000000}" name="2010-2012" dataDxfId="18"/>
    <tableColumn id="5" xr3:uid="{00000000-0010-0000-1801-000005000000}" name="2012-2014" dataDxfId="17"/>
    <tableColumn id="6" xr3:uid="{00000000-0010-0000-1801-000006000000}" name="2014-2016" dataDxfId="16"/>
    <tableColumn id="7" xr3:uid="{00000000-0010-0000-1801-000007000000}" name="2016-2018" dataDxfId="15"/>
    <tableColumn id="8" xr3:uid="{00000000-0010-0000-1801-000008000000}" name="2018-2020" dataDxfId="14"/>
    <tableColumn id="9" xr3:uid="{00000000-0010-0000-1801-000009000000}" name="2020-2022" dataDxfId="13"/>
  </tableColumns>
  <tableStyleInfo name="TableStyleLight1" showFirstColumn="1" showLastColumn="0" showRowStripes="0" showColumnStripes="0"/>
</table>
</file>

<file path=xl/tables/table2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6" xr:uid="{00000000-000C-0000-FFFF-FFFF19010000}" name="table83d" displayName="table83d" ref="A21:I24" totalsRowShown="0" headerRowDxfId="1" dataDxfId="0">
  <tableColumns count="9">
    <tableColumn id="1" xr3:uid="{00000000-0010-0000-1901-000001000000}" name="Group" dataDxfId="10"/>
    <tableColumn id="2" xr3:uid="{00000000-0010-0000-1901-000002000000}" name="2006-2008" dataDxfId="9"/>
    <tableColumn id="3" xr3:uid="{00000000-0010-0000-1901-000003000000}" name="2008-2010" dataDxfId="8"/>
    <tableColumn id="4" xr3:uid="{00000000-0010-0000-1901-000004000000}" name="2010-2012" dataDxfId="7"/>
    <tableColumn id="5" xr3:uid="{00000000-0010-0000-1901-000005000000}" name="2012-2014" dataDxfId="6"/>
    <tableColumn id="6" xr3:uid="{00000000-0010-0000-1901-000006000000}" name="2014-2016" dataDxfId="5"/>
    <tableColumn id="7" xr3:uid="{00000000-0010-0000-1901-000007000000}" name="2016-2018" dataDxfId="4"/>
    <tableColumn id="8" xr3:uid="{00000000-0010-0000-1901-000008000000}" name="2018-2020" dataDxfId="3"/>
    <tableColumn id="9" xr3:uid="{00000000-0010-0000-1901-000009000000}" name="2020-2022" dataDxfId="2"/>
  </tableColumns>
  <tableStyleInfo name="TableStyleLight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table" Target="../tables/table29.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table" Target="../tables/table3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table" Target="../tables/table38.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table" Target="../tables/table41.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table" Target="../tables/table4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table" Target="../tables/table51.xml"/><Relationship Id="rId1" Type="http://schemas.openxmlformats.org/officeDocument/2006/relationships/table" Target="../tables/table50.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table" Target="../tables/table5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table" Target="../tables/table57.xml"/><Relationship Id="rId1" Type="http://schemas.openxmlformats.org/officeDocument/2006/relationships/table" Target="../tables/table56.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table" Target="../tables/table60.xml"/><Relationship Id="rId1" Type="http://schemas.openxmlformats.org/officeDocument/2006/relationships/table" Target="../tables/table59.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64.xml"/><Relationship Id="rId2" Type="http://schemas.openxmlformats.org/officeDocument/2006/relationships/table" Target="../tables/table63.xml"/><Relationship Id="rId1" Type="http://schemas.openxmlformats.org/officeDocument/2006/relationships/table" Target="../tables/table62.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7.xml"/><Relationship Id="rId2" Type="http://schemas.openxmlformats.org/officeDocument/2006/relationships/table" Target="../tables/table66.xml"/><Relationship Id="rId1" Type="http://schemas.openxmlformats.org/officeDocument/2006/relationships/table" Target="../tables/table65.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70.xml"/><Relationship Id="rId2" Type="http://schemas.openxmlformats.org/officeDocument/2006/relationships/table" Target="../tables/table69.xml"/><Relationship Id="rId1" Type="http://schemas.openxmlformats.org/officeDocument/2006/relationships/table" Target="../tables/table68.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73.xml"/><Relationship Id="rId2" Type="http://schemas.openxmlformats.org/officeDocument/2006/relationships/table" Target="../tables/table72.xml"/><Relationship Id="rId1" Type="http://schemas.openxmlformats.org/officeDocument/2006/relationships/table" Target="../tables/table71.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76.xml"/><Relationship Id="rId2" Type="http://schemas.openxmlformats.org/officeDocument/2006/relationships/table" Target="../tables/table75.xml"/><Relationship Id="rId1" Type="http://schemas.openxmlformats.org/officeDocument/2006/relationships/table" Target="../tables/table74.xml"/><Relationship Id="rId4" Type="http://schemas.openxmlformats.org/officeDocument/2006/relationships/table" Target="../tables/table77.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80.xml"/><Relationship Id="rId2" Type="http://schemas.openxmlformats.org/officeDocument/2006/relationships/table" Target="../tables/table79.xml"/><Relationship Id="rId1" Type="http://schemas.openxmlformats.org/officeDocument/2006/relationships/table" Target="../tables/table78.xml"/><Relationship Id="rId4" Type="http://schemas.openxmlformats.org/officeDocument/2006/relationships/table" Target="../tables/table81.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84.xml"/><Relationship Id="rId2" Type="http://schemas.openxmlformats.org/officeDocument/2006/relationships/table" Target="../tables/table83.xml"/><Relationship Id="rId1" Type="http://schemas.openxmlformats.org/officeDocument/2006/relationships/table" Target="../tables/table82.xml"/><Relationship Id="rId4" Type="http://schemas.openxmlformats.org/officeDocument/2006/relationships/table" Target="../tables/table85.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88.xml"/><Relationship Id="rId2" Type="http://schemas.openxmlformats.org/officeDocument/2006/relationships/table" Target="../tables/table87.xml"/><Relationship Id="rId1" Type="http://schemas.openxmlformats.org/officeDocument/2006/relationships/table" Target="../tables/table86.xml"/><Relationship Id="rId4" Type="http://schemas.openxmlformats.org/officeDocument/2006/relationships/table" Target="../tables/table89.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92.xml"/><Relationship Id="rId2" Type="http://schemas.openxmlformats.org/officeDocument/2006/relationships/table" Target="../tables/table91.xml"/><Relationship Id="rId1" Type="http://schemas.openxmlformats.org/officeDocument/2006/relationships/table" Target="../tables/table90.xml"/><Relationship Id="rId4" Type="http://schemas.openxmlformats.org/officeDocument/2006/relationships/table" Target="../tables/table93.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96.xml"/><Relationship Id="rId2" Type="http://schemas.openxmlformats.org/officeDocument/2006/relationships/table" Target="../tables/table95.xml"/><Relationship Id="rId1" Type="http://schemas.openxmlformats.org/officeDocument/2006/relationships/table" Target="../tables/table94.xml"/><Relationship Id="rId4" Type="http://schemas.openxmlformats.org/officeDocument/2006/relationships/table" Target="../tables/table97.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00.xml"/><Relationship Id="rId2" Type="http://schemas.openxmlformats.org/officeDocument/2006/relationships/table" Target="../tables/table99.xml"/><Relationship Id="rId1" Type="http://schemas.openxmlformats.org/officeDocument/2006/relationships/table" Target="../tables/table98.xml"/><Relationship Id="rId4" Type="http://schemas.openxmlformats.org/officeDocument/2006/relationships/table" Target="../tables/table101.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104.xml"/><Relationship Id="rId2" Type="http://schemas.openxmlformats.org/officeDocument/2006/relationships/table" Target="../tables/table103.xml"/><Relationship Id="rId1" Type="http://schemas.openxmlformats.org/officeDocument/2006/relationships/table" Target="../tables/table102.xml"/><Relationship Id="rId4" Type="http://schemas.openxmlformats.org/officeDocument/2006/relationships/table" Target="../tables/table105.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108.xml"/><Relationship Id="rId2" Type="http://schemas.openxmlformats.org/officeDocument/2006/relationships/table" Target="../tables/table107.xml"/><Relationship Id="rId1" Type="http://schemas.openxmlformats.org/officeDocument/2006/relationships/table" Target="../tables/table106.xml"/><Relationship Id="rId4" Type="http://schemas.openxmlformats.org/officeDocument/2006/relationships/table" Target="../tables/table109.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112.xml"/><Relationship Id="rId2" Type="http://schemas.openxmlformats.org/officeDocument/2006/relationships/table" Target="../tables/table111.xml"/><Relationship Id="rId1" Type="http://schemas.openxmlformats.org/officeDocument/2006/relationships/table" Target="../tables/table110.xml"/><Relationship Id="rId4" Type="http://schemas.openxmlformats.org/officeDocument/2006/relationships/table" Target="../tables/table113.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116.xml"/><Relationship Id="rId2" Type="http://schemas.openxmlformats.org/officeDocument/2006/relationships/table" Target="../tables/table115.xml"/><Relationship Id="rId1" Type="http://schemas.openxmlformats.org/officeDocument/2006/relationships/table" Target="../tables/table114.xml"/><Relationship Id="rId4" Type="http://schemas.openxmlformats.org/officeDocument/2006/relationships/table" Target="../tables/table117.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120.xml"/><Relationship Id="rId2" Type="http://schemas.openxmlformats.org/officeDocument/2006/relationships/table" Target="../tables/table119.xml"/><Relationship Id="rId1" Type="http://schemas.openxmlformats.org/officeDocument/2006/relationships/table" Target="../tables/table118.xml"/><Relationship Id="rId4" Type="http://schemas.openxmlformats.org/officeDocument/2006/relationships/table" Target="../tables/table121.xml"/></Relationships>
</file>

<file path=xl/worksheets/_rels/sheet43.xml.rels><?xml version="1.0" encoding="UTF-8" standalone="yes"?>
<Relationships xmlns="http://schemas.openxmlformats.org/package/2006/relationships"><Relationship Id="rId3" Type="http://schemas.openxmlformats.org/officeDocument/2006/relationships/table" Target="../tables/table124.xml"/><Relationship Id="rId2" Type="http://schemas.openxmlformats.org/officeDocument/2006/relationships/table" Target="../tables/table123.xml"/><Relationship Id="rId1" Type="http://schemas.openxmlformats.org/officeDocument/2006/relationships/table" Target="../tables/table122.xml"/><Relationship Id="rId4" Type="http://schemas.openxmlformats.org/officeDocument/2006/relationships/table" Target="../tables/table125.xml"/></Relationships>
</file>

<file path=xl/worksheets/_rels/sheet44.xml.rels><?xml version="1.0" encoding="UTF-8" standalone="yes"?>
<Relationships xmlns="http://schemas.openxmlformats.org/package/2006/relationships"><Relationship Id="rId3" Type="http://schemas.openxmlformats.org/officeDocument/2006/relationships/table" Target="../tables/table128.xml"/><Relationship Id="rId2" Type="http://schemas.openxmlformats.org/officeDocument/2006/relationships/table" Target="../tables/table127.xml"/><Relationship Id="rId1" Type="http://schemas.openxmlformats.org/officeDocument/2006/relationships/table" Target="../tables/table126.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131.xml"/><Relationship Id="rId2" Type="http://schemas.openxmlformats.org/officeDocument/2006/relationships/table" Target="../tables/table130.xml"/><Relationship Id="rId1" Type="http://schemas.openxmlformats.org/officeDocument/2006/relationships/table" Target="../tables/table129.xml"/><Relationship Id="rId4" Type="http://schemas.openxmlformats.org/officeDocument/2006/relationships/table" Target="../tables/table132.xml"/></Relationships>
</file>

<file path=xl/worksheets/_rels/sheet46.xml.rels><?xml version="1.0" encoding="UTF-8" standalone="yes"?>
<Relationships xmlns="http://schemas.openxmlformats.org/package/2006/relationships"><Relationship Id="rId3" Type="http://schemas.openxmlformats.org/officeDocument/2006/relationships/table" Target="../tables/table135.xml"/><Relationship Id="rId2" Type="http://schemas.openxmlformats.org/officeDocument/2006/relationships/table" Target="../tables/table134.xml"/><Relationship Id="rId1" Type="http://schemas.openxmlformats.org/officeDocument/2006/relationships/table" Target="../tables/table133.xml"/><Relationship Id="rId4" Type="http://schemas.openxmlformats.org/officeDocument/2006/relationships/table" Target="../tables/table136.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39.xml"/><Relationship Id="rId2" Type="http://schemas.openxmlformats.org/officeDocument/2006/relationships/table" Target="../tables/table138.xml"/><Relationship Id="rId1" Type="http://schemas.openxmlformats.org/officeDocument/2006/relationships/table" Target="../tables/table137.xml"/><Relationship Id="rId4" Type="http://schemas.openxmlformats.org/officeDocument/2006/relationships/table" Target="../tables/table140.xml"/></Relationships>
</file>

<file path=xl/worksheets/_rels/sheet48.xml.rels><?xml version="1.0" encoding="UTF-8" standalone="yes"?>
<Relationships xmlns="http://schemas.openxmlformats.org/package/2006/relationships"><Relationship Id="rId3" Type="http://schemas.openxmlformats.org/officeDocument/2006/relationships/table" Target="../tables/table143.xml"/><Relationship Id="rId2" Type="http://schemas.openxmlformats.org/officeDocument/2006/relationships/table" Target="../tables/table142.xml"/><Relationship Id="rId1" Type="http://schemas.openxmlformats.org/officeDocument/2006/relationships/table" Target="../tables/table141.xml"/><Relationship Id="rId4" Type="http://schemas.openxmlformats.org/officeDocument/2006/relationships/table" Target="../tables/table144.xml"/></Relationships>
</file>

<file path=xl/worksheets/_rels/sheet49.xml.rels><?xml version="1.0" encoding="UTF-8" standalone="yes"?>
<Relationships xmlns="http://schemas.openxmlformats.org/package/2006/relationships"><Relationship Id="rId3" Type="http://schemas.openxmlformats.org/officeDocument/2006/relationships/table" Target="../tables/table147.xml"/><Relationship Id="rId2" Type="http://schemas.openxmlformats.org/officeDocument/2006/relationships/table" Target="../tables/table146.xml"/><Relationship Id="rId1" Type="http://schemas.openxmlformats.org/officeDocument/2006/relationships/table" Target="../tables/table145.xml"/><Relationship Id="rId4" Type="http://schemas.openxmlformats.org/officeDocument/2006/relationships/table" Target="../tables/table148.xml"/></Relationships>
</file>

<file path=xl/worksheets/_rels/sheet50.xml.rels><?xml version="1.0" encoding="UTF-8" standalone="yes"?>
<Relationships xmlns="http://schemas.openxmlformats.org/package/2006/relationships"><Relationship Id="rId3" Type="http://schemas.openxmlformats.org/officeDocument/2006/relationships/table" Target="../tables/table151.xml"/><Relationship Id="rId2" Type="http://schemas.openxmlformats.org/officeDocument/2006/relationships/table" Target="../tables/table150.xml"/><Relationship Id="rId1" Type="http://schemas.openxmlformats.org/officeDocument/2006/relationships/table" Target="../tables/table149.xml"/><Relationship Id="rId4" Type="http://schemas.openxmlformats.org/officeDocument/2006/relationships/table" Target="../tables/table152.xml"/></Relationships>
</file>

<file path=xl/worksheets/_rels/sheet51.xml.rels><?xml version="1.0" encoding="UTF-8" standalone="yes"?>
<Relationships xmlns="http://schemas.openxmlformats.org/package/2006/relationships"><Relationship Id="rId3" Type="http://schemas.openxmlformats.org/officeDocument/2006/relationships/table" Target="../tables/table155.xml"/><Relationship Id="rId2" Type="http://schemas.openxmlformats.org/officeDocument/2006/relationships/table" Target="../tables/table154.xml"/><Relationship Id="rId1" Type="http://schemas.openxmlformats.org/officeDocument/2006/relationships/table" Target="../tables/table153.xml"/><Relationship Id="rId4" Type="http://schemas.openxmlformats.org/officeDocument/2006/relationships/table" Target="../tables/table156.xml"/></Relationships>
</file>

<file path=xl/worksheets/_rels/sheet52.xml.rels><?xml version="1.0" encoding="UTF-8" standalone="yes"?>
<Relationships xmlns="http://schemas.openxmlformats.org/package/2006/relationships"><Relationship Id="rId3" Type="http://schemas.openxmlformats.org/officeDocument/2006/relationships/table" Target="../tables/table159.xml"/><Relationship Id="rId2" Type="http://schemas.openxmlformats.org/officeDocument/2006/relationships/table" Target="../tables/table158.xml"/><Relationship Id="rId1" Type="http://schemas.openxmlformats.org/officeDocument/2006/relationships/table" Target="../tables/table157.xml"/><Relationship Id="rId4" Type="http://schemas.openxmlformats.org/officeDocument/2006/relationships/table" Target="../tables/table160.xml"/></Relationships>
</file>

<file path=xl/worksheets/_rels/sheet53.xml.rels><?xml version="1.0" encoding="UTF-8" standalone="yes"?>
<Relationships xmlns="http://schemas.openxmlformats.org/package/2006/relationships"><Relationship Id="rId3" Type="http://schemas.openxmlformats.org/officeDocument/2006/relationships/table" Target="../tables/table163.xml"/><Relationship Id="rId2" Type="http://schemas.openxmlformats.org/officeDocument/2006/relationships/table" Target="../tables/table162.xml"/><Relationship Id="rId1" Type="http://schemas.openxmlformats.org/officeDocument/2006/relationships/table" Target="../tables/table161.xml"/><Relationship Id="rId4" Type="http://schemas.openxmlformats.org/officeDocument/2006/relationships/table" Target="../tables/table164.xml"/></Relationships>
</file>

<file path=xl/worksheets/_rels/sheet54.xml.rels><?xml version="1.0" encoding="UTF-8" standalone="yes"?>
<Relationships xmlns="http://schemas.openxmlformats.org/package/2006/relationships"><Relationship Id="rId3" Type="http://schemas.openxmlformats.org/officeDocument/2006/relationships/table" Target="../tables/table167.xml"/><Relationship Id="rId2" Type="http://schemas.openxmlformats.org/officeDocument/2006/relationships/table" Target="../tables/table166.xml"/><Relationship Id="rId1" Type="http://schemas.openxmlformats.org/officeDocument/2006/relationships/table" Target="../tables/table165.xml"/><Relationship Id="rId4" Type="http://schemas.openxmlformats.org/officeDocument/2006/relationships/table" Target="../tables/table168.xml"/></Relationships>
</file>

<file path=xl/worksheets/_rels/sheet55.xml.rels><?xml version="1.0" encoding="UTF-8" standalone="yes"?>
<Relationships xmlns="http://schemas.openxmlformats.org/package/2006/relationships"><Relationship Id="rId3" Type="http://schemas.openxmlformats.org/officeDocument/2006/relationships/table" Target="../tables/table171.xml"/><Relationship Id="rId2" Type="http://schemas.openxmlformats.org/officeDocument/2006/relationships/table" Target="../tables/table170.xml"/><Relationship Id="rId1" Type="http://schemas.openxmlformats.org/officeDocument/2006/relationships/table" Target="../tables/table169.xml"/><Relationship Id="rId4" Type="http://schemas.openxmlformats.org/officeDocument/2006/relationships/table" Target="../tables/table172.xml"/></Relationships>
</file>

<file path=xl/worksheets/_rels/sheet56.xml.rels><?xml version="1.0" encoding="UTF-8" standalone="yes"?>
<Relationships xmlns="http://schemas.openxmlformats.org/package/2006/relationships"><Relationship Id="rId3" Type="http://schemas.openxmlformats.org/officeDocument/2006/relationships/table" Target="../tables/table175.xml"/><Relationship Id="rId2" Type="http://schemas.openxmlformats.org/officeDocument/2006/relationships/table" Target="../tables/table174.xml"/><Relationship Id="rId1" Type="http://schemas.openxmlformats.org/officeDocument/2006/relationships/table" Target="../tables/table173.xml"/><Relationship Id="rId4" Type="http://schemas.openxmlformats.org/officeDocument/2006/relationships/table" Target="../tables/table176.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179.xml"/><Relationship Id="rId2" Type="http://schemas.openxmlformats.org/officeDocument/2006/relationships/table" Target="../tables/table178.xml"/><Relationship Id="rId1" Type="http://schemas.openxmlformats.org/officeDocument/2006/relationships/table" Target="../tables/table177.xml"/></Relationships>
</file>

<file path=xl/worksheets/_rels/sheet58.xml.rels><?xml version="1.0" encoding="UTF-8" standalone="yes"?>
<Relationships xmlns="http://schemas.openxmlformats.org/package/2006/relationships"><Relationship Id="rId3" Type="http://schemas.openxmlformats.org/officeDocument/2006/relationships/table" Target="../tables/table182.xml"/><Relationship Id="rId2" Type="http://schemas.openxmlformats.org/officeDocument/2006/relationships/table" Target="../tables/table181.xml"/><Relationship Id="rId1" Type="http://schemas.openxmlformats.org/officeDocument/2006/relationships/table" Target="../tables/table180.xml"/></Relationships>
</file>

<file path=xl/worksheets/_rels/sheet59.xml.rels><?xml version="1.0" encoding="UTF-8" standalone="yes"?>
<Relationships xmlns="http://schemas.openxmlformats.org/package/2006/relationships"><Relationship Id="rId3" Type="http://schemas.openxmlformats.org/officeDocument/2006/relationships/table" Target="../tables/table185.xml"/><Relationship Id="rId2" Type="http://schemas.openxmlformats.org/officeDocument/2006/relationships/table" Target="../tables/table184.xml"/><Relationship Id="rId1" Type="http://schemas.openxmlformats.org/officeDocument/2006/relationships/table" Target="../tables/table183.xml"/><Relationship Id="rId4" Type="http://schemas.openxmlformats.org/officeDocument/2006/relationships/table" Target="../tables/table186.xml"/></Relationships>
</file>

<file path=xl/worksheets/_rels/sheet60.xml.rels><?xml version="1.0" encoding="UTF-8" standalone="yes"?>
<Relationships xmlns="http://schemas.openxmlformats.org/package/2006/relationships"><Relationship Id="rId3" Type="http://schemas.openxmlformats.org/officeDocument/2006/relationships/table" Target="../tables/table189.xml"/><Relationship Id="rId2" Type="http://schemas.openxmlformats.org/officeDocument/2006/relationships/table" Target="../tables/table188.xml"/><Relationship Id="rId1" Type="http://schemas.openxmlformats.org/officeDocument/2006/relationships/table" Target="../tables/table187.xml"/><Relationship Id="rId4" Type="http://schemas.openxmlformats.org/officeDocument/2006/relationships/table" Target="../tables/table190.xml"/></Relationships>
</file>

<file path=xl/worksheets/_rels/sheet61.xml.rels><?xml version="1.0" encoding="UTF-8" standalone="yes"?>
<Relationships xmlns="http://schemas.openxmlformats.org/package/2006/relationships"><Relationship Id="rId3" Type="http://schemas.openxmlformats.org/officeDocument/2006/relationships/table" Target="../tables/table193.xml"/><Relationship Id="rId2" Type="http://schemas.openxmlformats.org/officeDocument/2006/relationships/table" Target="../tables/table192.xml"/><Relationship Id="rId1" Type="http://schemas.openxmlformats.org/officeDocument/2006/relationships/table" Target="../tables/table191.xml"/><Relationship Id="rId4" Type="http://schemas.openxmlformats.org/officeDocument/2006/relationships/table" Target="../tables/table194.xml"/></Relationships>
</file>

<file path=xl/worksheets/_rels/sheet62.xml.rels><?xml version="1.0" encoding="UTF-8" standalone="yes"?>
<Relationships xmlns="http://schemas.openxmlformats.org/package/2006/relationships"><Relationship Id="rId3" Type="http://schemas.openxmlformats.org/officeDocument/2006/relationships/table" Target="../tables/table197.xml"/><Relationship Id="rId2" Type="http://schemas.openxmlformats.org/officeDocument/2006/relationships/table" Target="../tables/table196.xml"/><Relationship Id="rId1" Type="http://schemas.openxmlformats.org/officeDocument/2006/relationships/table" Target="../tables/table195.xml"/><Relationship Id="rId4" Type="http://schemas.openxmlformats.org/officeDocument/2006/relationships/table" Target="../tables/table198.xml"/></Relationships>
</file>

<file path=xl/worksheets/_rels/sheet63.xml.rels><?xml version="1.0" encoding="UTF-8" standalone="yes"?>
<Relationships xmlns="http://schemas.openxmlformats.org/package/2006/relationships"><Relationship Id="rId3" Type="http://schemas.openxmlformats.org/officeDocument/2006/relationships/table" Target="../tables/table201.xml"/><Relationship Id="rId2" Type="http://schemas.openxmlformats.org/officeDocument/2006/relationships/table" Target="../tables/table200.xml"/><Relationship Id="rId1" Type="http://schemas.openxmlformats.org/officeDocument/2006/relationships/table" Target="../tables/table199.xml"/><Relationship Id="rId4" Type="http://schemas.openxmlformats.org/officeDocument/2006/relationships/table" Target="../tables/table202.xml"/></Relationships>
</file>

<file path=xl/worksheets/_rels/sheet64.xml.rels><?xml version="1.0" encoding="UTF-8" standalone="yes"?>
<Relationships xmlns="http://schemas.openxmlformats.org/package/2006/relationships"><Relationship Id="rId3" Type="http://schemas.openxmlformats.org/officeDocument/2006/relationships/table" Target="../tables/table205.xml"/><Relationship Id="rId2" Type="http://schemas.openxmlformats.org/officeDocument/2006/relationships/table" Target="../tables/table204.xml"/><Relationship Id="rId1" Type="http://schemas.openxmlformats.org/officeDocument/2006/relationships/table" Target="../tables/table203.xml"/><Relationship Id="rId4" Type="http://schemas.openxmlformats.org/officeDocument/2006/relationships/table" Target="../tables/table206.xml"/></Relationships>
</file>

<file path=xl/worksheets/_rels/sheet65.xml.rels><?xml version="1.0" encoding="UTF-8" standalone="yes"?>
<Relationships xmlns="http://schemas.openxmlformats.org/package/2006/relationships"><Relationship Id="rId3" Type="http://schemas.openxmlformats.org/officeDocument/2006/relationships/table" Target="../tables/table209.xml"/><Relationship Id="rId2" Type="http://schemas.openxmlformats.org/officeDocument/2006/relationships/table" Target="../tables/table208.xml"/><Relationship Id="rId1" Type="http://schemas.openxmlformats.org/officeDocument/2006/relationships/table" Target="../tables/table207.xml"/><Relationship Id="rId4" Type="http://schemas.openxmlformats.org/officeDocument/2006/relationships/table" Target="../tables/table210.xml"/></Relationships>
</file>

<file path=xl/worksheets/_rels/sheet66.xml.rels><?xml version="1.0" encoding="UTF-8" standalone="yes"?>
<Relationships xmlns="http://schemas.openxmlformats.org/package/2006/relationships"><Relationship Id="rId3" Type="http://schemas.openxmlformats.org/officeDocument/2006/relationships/table" Target="../tables/table213.xml"/><Relationship Id="rId2" Type="http://schemas.openxmlformats.org/officeDocument/2006/relationships/table" Target="../tables/table212.xml"/><Relationship Id="rId1" Type="http://schemas.openxmlformats.org/officeDocument/2006/relationships/table" Target="../tables/table211.xml"/><Relationship Id="rId4" Type="http://schemas.openxmlformats.org/officeDocument/2006/relationships/table" Target="../tables/table214.xml"/></Relationships>
</file>

<file path=xl/worksheets/_rels/sheet67.xml.rels><?xml version="1.0" encoding="UTF-8" standalone="yes"?>
<Relationships xmlns="http://schemas.openxmlformats.org/package/2006/relationships"><Relationship Id="rId3" Type="http://schemas.openxmlformats.org/officeDocument/2006/relationships/table" Target="../tables/table217.xml"/><Relationship Id="rId2" Type="http://schemas.openxmlformats.org/officeDocument/2006/relationships/table" Target="../tables/table216.xml"/><Relationship Id="rId1" Type="http://schemas.openxmlformats.org/officeDocument/2006/relationships/table" Target="../tables/table215.xml"/><Relationship Id="rId4" Type="http://schemas.openxmlformats.org/officeDocument/2006/relationships/table" Target="../tables/table218.xml"/></Relationships>
</file>

<file path=xl/worksheets/_rels/sheet68.xml.rels><?xml version="1.0" encoding="UTF-8" standalone="yes"?>
<Relationships xmlns="http://schemas.openxmlformats.org/package/2006/relationships"><Relationship Id="rId3" Type="http://schemas.openxmlformats.org/officeDocument/2006/relationships/table" Target="../tables/table221.xml"/><Relationship Id="rId2" Type="http://schemas.openxmlformats.org/officeDocument/2006/relationships/table" Target="../tables/table220.xml"/><Relationship Id="rId1" Type="http://schemas.openxmlformats.org/officeDocument/2006/relationships/table" Target="../tables/table219.xml"/><Relationship Id="rId4" Type="http://schemas.openxmlformats.org/officeDocument/2006/relationships/table" Target="../tables/table222.xml"/></Relationships>
</file>

<file path=xl/worksheets/_rels/sheet69.xml.rels><?xml version="1.0" encoding="UTF-8" standalone="yes"?>
<Relationships xmlns="http://schemas.openxmlformats.org/package/2006/relationships"><Relationship Id="rId3" Type="http://schemas.openxmlformats.org/officeDocument/2006/relationships/table" Target="../tables/table225.xml"/><Relationship Id="rId2" Type="http://schemas.openxmlformats.org/officeDocument/2006/relationships/table" Target="../tables/table224.xml"/><Relationship Id="rId1" Type="http://schemas.openxmlformats.org/officeDocument/2006/relationships/table" Target="../tables/table223.xml"/><Relationship Id="rId4" Type="http://schemas.openxmlformats.org/officeDocument/2006/relationships/table" Target="../tables/table226.xml"/></Relationships>
</file>

<file path=xl/worksheets/_rels/sheet70.xml.rels><?xml version="1.0" encoding="UTF-8" standalone="yes"?>
<Relationships xmlns="http://schemas.openxmlformats.org/package/2006/relationships"><Relationship Id="rId3" Type="http://schemas.openxmlformats.org/officeDocument/2006/relationships/table" Target="../tables/table229.xml"/><Relationship Id="rId2" Type="http://schemas.openxmlformats.org/officeDocument/2006/relationships/table" Target="../tables/table228.xml"/><Relationship Id="rId1" Type="http://schemas.openxmlformats.org/officeDocument/2006/relationships/table" Target="../tables/table227.xml"/></Relationships>
</file>

<file path=xl/worksheets/_rels/sheet71.xml.rels><?xml version="1.0" encoding="UTF-8" standalone="yes"?>
<Relationships xmlns="http://schemas.openxmlformats.org/package/2006/relationships"><Relationship Id="rId3" Type="http://schemas.openxmlformats.org/officeDocument/2006/relationships/table" Target="../tables/table232.xml"/><Relationship Id="rId2" Type="http://schemas.openxmlformats.org/officeDocument/2006/relationships/table" Target="../tables/table231.xml"/><Relationship Id="rId1" Type="http://schemas.openxmlformats.org/officeDocument/2006/relationships/table" Target="../tables/table230.xml"/></Relationships>
</file>

<file path=xl/worksheets/_rels/sheet72.xml.rels><?xml version="1.0" encoding="UTF-8" standalone="yes"?>
<Relationships xmlns="http://schemas.openxmlformats.org/package/2006/relationships"><Relationship Id="rId2" Type="http://schemas.openxmlformats.org/officeDocument/2006/relationships/table" Target="../tables/table234.xml"/><Relationship Id="rId1" Type="http://schemas.openxmlformats.org/officeDocument/2006/relationships/table" Target="../tables/table233.xml"/></Relationships>
</file>

<file path=xl/worksheets/_rels/sheet73.xml.rels><?xml version="1.0" encoding="UTF-8" standalone="yes"?>
<Relationships xmlns="http://schemas.openxmlformats.org/package/2006/relationships"><Relationship Id="rId3" Type="http://schemas.openxmlformats.org/officeDocument/2006/relationships/table" Target="../tables/table237.xml"/><Relationship Id="rId2" Type="http://schemas.openxmlformats.org/officeDocument/2006/relationships/table" Target="../tables/table236.xml"/><Relationship Id="rId1" Type="http://schemas.openxmlformats.org/officeDocument/2006/relationships/table" Target="../tables/table235.xml"/></Relationships>
</file>

<file path=xl/worksheets/_rels/sheet74.xml.rels><?xml version="1.0" encoding="UTF-8" standalone="yes"?>
<Relationships xmlns="http://schemas.openxmlformats.org/package/2006/relationships"><Relationship Id="rId2" Type="http://schemas.openxmlformats.org/officeDocument/2006/relationships/table" Target="../tables/table239.xml"/><Relationship Id="rId1" Type="http://schemas.openxmlformats.org/officeDocument/2006/relationships/table" Target="../tables/table238.xml"/></Relationships>
</file>

<file path=xl/worksheets/_rels/sheet75.xml.rels><?xml version="1.0" encoding="UTF-8" standalone="yes"?>
<Relationships xmlns="http://schemas.openxmlformats.org/package/2006/relationships"><Relationship Id="rId3" Type="http://schemas.openxmlformats.org/officeDocument/2006/relationships/table" Target="../tables/table242.xml"/><Relationship Id="rId2" Type="http://schemas.openxmlformats.org/officeDocument/2006/relationships/table" Target="../tables/table241.xml"/><Relationship Id="rId1" Type="http://schemas.openxmlformats.org/officeDocument/2006/relationships/table" Target="../tables/table240.xml"/></Relationships>
</file>

<file path=xl/worksheets/_rels/sheet76.xml.rels><?xml version="1.0" encoding="UTF-8" standalone="yes"?>
<Relationships xmlns="http://schemas.openxmlformats.org/package/2006/relationships"><Relationship Id="rId3" Type="http://schemas.openxmlformats.org/officeDocument/2006/relationships/table" Target="../tables/table245.xml"/><Relationship Id="rId2" Type="http://schemas.openxmlformats.org/officeDocument/2006/relationships/table" Target="../tables/table244.xml"/><Relationship Id="rId1" Type="http://schemas.openxmlformats.org/officeDocument/2006/relationships/table" Target="../tables/table243.xml"/><Relationship Id="rId4" Type="http://schemas.openxmlformats.org/officeDocument/2006/relationships/table" Target="../tables/table246.xml"/></Relationships>
</file>

<file path=xl/worksheets/_rels/sheet77.xml.rels><?xml version="1.0" encoding="UTF-8" standalone="yes"?>
<Relationships xmlns="http://schemas.openxmlformats.org/package/2006/relationships"><Relationship Id="rId3" Type="http://schemas.openxmlformats.org/officeDocument/2006/relationships/table" Target="../tables/table249.xml"/><Relationship Id="rId2" Type="http://schemas.openxmlformats.org/officeDocument/2006/relationships/table" Target="../tables/table248.xml"/><Relationship Id="rId1" Type="http://schemas.openxmlformats.org/officeDocument/2006/relationships/table" Target="../tables/table247.xml"/><Relationship Id="rId4" Type="http://schemas.openxmlformats.org/officeDocument/2006/relationships/table" Target="../tables/table250.xml"/></Relationships>
</file>

<file path=xl/worksheets/_rels/sheet78.xml.rels><?xml version="1.0" encoding="UTF-8" standalone="yes"?>
<Relationships xmlns="http://schemas.openxmlformats.org/package/2006/relationships"><Relationship Id="rId3" Type="http://schemas.openxmlformats.org/officeDocument/2006/relationships/table" Target="../tables/table253.xml"/><Relationship Id="rId2" Type="http://schemas.openxmlformats.org/officeDocument/2006/relationships/table" Target="../tables/table252.xml"/><Relationship Id="rId1" Type="http://schemas.openxmlformats.org/officeDocument/2006/relationships/table" Target="../tables/table251.xml"/><Relationship Id="rId4" Type="http://schemas.openxmlformats.org/officeDocument/2006/relationships/table" Target="../tables/table254.xml"/></Relationships>
</file>

<file path=xl/worksheets/_rels/sheet79.xml.rels><?xml version="1.0" encoding="UTF-8" standalone="yes"?>
<Relationships xmlns="http://schemas.openxmlformats.org/package/2006/relationships"><Relationship Id="rId3" Type="http://schemas.openxmlformats.org/officeDocument/2006/relationships/table" Target="../tables/table257.xml"/><Relationship Id="rId2" Type="http://schemas.openxmlformats.org/officeDocument/2006/relationships/table" Target="../tables/table256.xml"/><Relationship Id="rId1" Type="http://schemas.openxmlformats.org/officeDocument/2006/relationships/table" Target="../tables/table255.xml"/><Relationship Id="rId4" Type="http://schemas.openxmlformats.org/officeDocument/2006/relationships/table" Target="../tables/table258.xml"/></Relationships>
</file>

<file path=xl/worksheets/_rels/sheet80.xml.rels><?xml version="1.0" encoding="UTF-8" standalone="yes"?>
<Relationships xmlns="http://schemas.openxmlformats.org/package/2006/relationships"><Relationship Id="rId3" Type="http://schemas.openxmlformats.org/officeDocument/2006/relationships/table" Target="../tables/table261.xml"/><Relationship Id="rId2" Type="http://schemas.openxmlformats.org/officeDocument/2006/relationships/table" Target="../tables/table260.xml"/><Relationship Id="rId1" Type="http://schemas.openxmlformats.org/officeDocument/2006/relationships/table" Target="../tables/table259.xml"/><Relationship Id="rId4" Type="http://schemas.openxmlformats.org/officeDocument/2006/relationships/table" Target="../tables/table262.xml"/></Relationships>
</file>

<file path=xl/worksheets/_rels/sheet81.xml.rels><?xml version="1.0" encoding="UTF-8" standalone="yes"?>
<Relationships xmlns="http://schemas.openxmlformats.org/package/2006/relationships"><Relationship Id="rId3" Type="http://schemas.openxmlformats.org/officeDocument/2006/relationships/table" Target="../tables/table265.xml"/><Relationship Id="rId2" Type="http://schemas.openxmlformats.org/officeDocument/2006/relationships/table" Target="../tables/table264.xml"/><Relationship Id="rId1" Type="http://schemas.openxmlformats.org/officeDocument/2006/relationships/table" Target="../tables/table263.xml"/><Relationship Id="rId4" Type="http://schemas.openxmlformats.org/officeDocument/2006/relationships/table" Target="../tables/table266.xml"/></Relationships>
</file>

<file path=xl/worksheets/_rels/sheet82.xml.rels><?xml version="1.0" encoding="UTF-8" standalone="yes"?>
<Relationships xmlns="http://schemas.openxmlformats.org/package/2006/relationships"><Relationship Id="rId3" Type="http://schemas.openxmlformats.org/officeDocument/2006/relationships/table" Target="../tables/table269.xml"/><Relationship Id="rId2" Type="http://schemas.openxmlformats.org/officeDocument/2006/relationships/table" Target="../tables/table268.xml"/><Relationship Id="rId1" Type="http://schemas.openxmlformats.org/officeDocument/2006/relationships/table" Target="../tables/table267.xml"/><Relationship Id="rId4" Type="http://schemas.openxmlformats.org/officeDocument/2006/relationships/table" Target="../tables/table270.xml"/></Relationships>
</file>

<file path=xl/worksheets/_rels/sheet83.xml.rels><?xml version="1.0" encoding="UTF-8" standalone="yes"?>
<Relationships xmlns="http://schemas.openxmlformats.org/package/2006/relationships"><Relationship Id="rId3" Type="http://schemas.openxmlformats.org/officeDocument/2006/relationships/table" Target="../tables/table273.xml"/><Relationship Id="rId2" Type="http://schemas.openxmlformats.org/officeDocument/2006/relationships/table" Target="../tables/table272.xml"/><Relationship Id="rId1" Type="http://schemas.openxmlformats.org/officeDocument/2006/relationships/table" Target="../tables/table271.xml"/><Relationship Id="rId4" Type="http://schemas.openxmlformats.org/officeDocument/2006/relationships/table" Target="../tables/table274.xml"/></Relationships>
</file>

<file path=xl/worksheets/_rels/sheet84.xml.rels><?xml version="1.0" encoding="UTF-8" standalone="yes"?>
<Relationships xmlns="http://schemas.openxmlformats.org/package/2006/relationships"><Relationship Id="rId3" Type="http://schemas.openxmlformats.org/officeDocument/2006/relationships/table" Target="../tables/table277.xml"/><Relationship Id="rId2" Type="http://schemas.openxmlformats.org/officeDocument/2006/relationships/table" Target="../tables/table276.xml"/><Relationship Id="rId1" Type="http://schemas.openxmlformats.org/officeDocument/2006/relationships/table" Target="../tables/table275.xml"/><Relationship Id="rId4" Type="http://schemas.openxmlformats.org/officeDocument/2006/relationships/table" Target="../tables/table278.xml"/></Relationships>
</file>

<file path=xl/worksheets/_rels/sheet85.xml.rels><?xml version="1.0" encoding="UTF-8" standalone="yes"?>
<Relationships xmlns="http://schemas.openxmlformats.org/package/2006/relationships"><Relationship Id="rId3" Type="http://schemas.openxmlformats.org/officeDocument/2006/relationships/table" Target="../tables/table281.xml"/><Relationship Id="rId2" Type="http://schemas.openxmlformats.org/officeDocument/2006/relationships/table" Target="../tables/table280.xml"/><Relationship Id="rId1" Type="http://schemas.openxmlformats.org/officeDocument/2006/relationships/table" Target="../tables/table279.xml"/><Relationship Id="rId4" Type="http://schemas.openxmlformats.org/officeDocument/2006/relationships/table" Target="../tables/table28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showGridLines="0" tabSelected="1" workbookViewId="0"/>
  </sheetViews>
  <sheetFormatPr defaultColWidth="10.90625" defaultRowHeight="14.5" x14ac:dyDescent="0.35"/>
  <cols>
    <col min="1" max="1" width="85.7265625" customWidth="1"/>
  </cols>
  <sheetData>
    <row r="1" spans="1:1" ht="30" customHeight="1" x14ac:dyDescent="0.45">
      <c r="A1" s="1" t="s">
        <v>9</v>
      </c>
    </row>
    <row r="2" spans="1:1" ht="17.5" x14ac:dyDescent="0.45">
      <c r="A2" s="2" t="s">
        <v>576</v>
      </c>
    </row>
    <row r="3" spans="1:1" ht="35" x14ac:dyDescent="0.45">
      <c r="A3" s="2" t="s">
        <v>577</v>
      </c>
    </row>
    <row r="4" spans="1:1" ht="35" x14ac:dyDescent="0.45">
      <c r="A4" s="2" t="s">
        <v>578</v>
      </c>
    </row>
    <row r="5" spans="1:1" ht="52.5" x14ac:dyDescent="0.45">
      <c r="A5" s="2" t="s">
        <v>579</v>
      </c>
    </row>
    <row r="6" spans="1:1" ht="87.5" x14ac:dyDescent="0.45">
      <c r="A6" s="2" t="s">
        <v>580</v>
      </c>
    </row>
    <row r="7" spans="1:1" ht="70" x14ac:dyDescent="0.45">
      <c r="A7" s="2" t="s">
        <v>581</v>
      </c>
    </row>
    <row r="8" spans="1:1" ht="87.5" x14ac:dyDescent="0.45">
      <c r="A8" s="2" t="s">
        <v>582</v>
      </c>
    </row>
    <row r="9" spans="1:1" ht="87.5" x14ac:dyDescent="0.45">
      <c r="A9" s="2" t="s">
        <v>583</v>
      </c>
    </row>
    <row r="10" spans="1:1" ht="52.5" x14ac:dyDescent="0.45">
      <c r="A10" s="2" t="s">
        <v>584</v>
      </c>
    </row>
    <row r="11" spans="1:1" ht="52.5" x14ac:dyDescent="0.45">
      <c r="A11" s="2" t="s">
        <v>585</v>
      </c>
    </row>
    <row r="12" spans="1:1" ht="70" x14ac:dyDescent="0.45">
      <c r="A12" s="2" t="s">
        <v>586</v>
      </c>
    </row>
    <row r="13" spans="1:1" ht="35" x14ac:dyDescent="0.45">
      <c r="A13" s="2" t="s">
        <v>587</v>
      </c>
    </row>
    <row r="14" spans="1:1" ht="30" customHeight="1" x14ac:dyDescent="0.4">
      <c r="A14" s="3" t="s">
        <v>382</v>
      </c>
    </row>
    <row r="15" spans="1:1" ht="17.5" x14ac:dyDescent="0.45">
      <c r="A15" s="2" t="s">
        <v>588</v>
      </c>
    </row>
    <row r="16" spans="1:1" ht="17.5" x14ac:dyDescent="0.45">
      <c r="A16" s="2" t="s">
        <v>589</v>
      </c>
    </row>
    <row r="17" spans="1:1" ht="17.5" x14ac:dyDescent="0.45">
      <c r="A17" s="2" t="s">
        <v>590</v>
      </c>
    </row>
    <row r="18" spans="1:1" ht="30" customHeight="1" x14ac:dyDescent="0.4">
      <c r="A18" s="3" t="s">
        <v>8</v>
      </c>
    </row>
    <row r="19" spans="1:1" ht="17.5" x14ac:dyDescent="0.45">
      <c r="A19" s="2" t="s">
        <v>591</v>
      </c>
    </row>
    <row r="20" spans="1:1" ht="17.5" x14ac:dyDescent="0.45">
      <c r="A20" s="2" t="s">
        <v>592</v>
      </c>
    </row>
    <row r="21" spans="1:1" ht="17.5" x14ac:dyDescent="0.45">
      <c r="A21" s="2" t="s">
        <v>593</v>
      </c>
    </row>
    <row r="22" spans="1:1" ht="17.5" x14ac:dyDescent="0.45">
      <c r="A22" s="2" t="s">
        <v>594</v>
      </c>
    </row>
    <row r="23" spans="1:1" ht="30" customHeight="1" x14ac:dyDescent="0.4">
      <c r="A23" s="3" t="s">
        <v>2</v>
      </c>
    </row>
    <row r="24" spans="1:1" ht="35" x14ac:dyDescent="0.45">
      <c r="A24" s="2" t="s">
        <v>595</v>
      </c>
    </row>
    <row r="25" spans="1:1" ht="70" x14ac:dyDescent="0.45">
      <c r="A25" s="2" t="s">
        <v>596</v>
      </c>
    </row>
    <row r="26" spans="1:1" ht="70" x14ac:dyDescent="0.45">
      <c r="A26" s="2" t="s">
        <v>597</v>
      </c>
    </row>
    <row r="27" spans="1:1" ht="52.5" x14ac:dyDescent="0.45">
      <c r="A27" s="2" t="s">
        <v>598</v>
      </c>
    </row>
    <row r="28" spans="1:1" ht="52.5" x14ac:dyDescent="0.45">
      <c r="A28" s="2" t="s">
        <v>599</v>
      </c>
    </row>
    <row r="29" spans="1:1" ht="30" customHeight="1" x14ac:dyDescent="0.4">
      <c r="A29" s="3" t="s">
        <v>3</v>
      </c>
    </row>
    <row r="30" spans="1:1" ht="105" x14ac:dyDescent="0.45">
      <c r="A30" s="2" t="s">
        <v>600</v>
      </c>
    </row>
    <row r="31" spans="1:1" ht="30" customHeight="1" x14ac:dyDescent="0.4">
      <c r="A31" s="3" t="s">
        <v>4</v>
      </c>
    </row>
    <row r="32" spans="1:1" ht="35" x14ac:dyDescent="0.45">
      <c r="A32" s="2" t="s">
        <v>601</v>
      </c>
    </row>
    <row r="33" spans="1:1" ht="30" customHeight="1" x14ac:dyDescent="0.4">
      <c r="A33" s="3" t="s">
        <v>5</v>
      </c>
    </row>
    <row r="34" spans="1:1" ht="87.5" x14ac:dyDescent="0.45">
      <c r="A34" s="2" t="s">
        <v>602</v>
      </c>
    </row>
    <row r="35" spans="1:1" ht="30" customHeight="1" x14ac:dyDescent="0.4">
      <c r="A35" s="3" t="s">
        <v>6</v>
      </c>
    </row>
    <row r="36" spans="1:1" ht="52.5" x14ac:dyDescent="0.45">
      <c r="A36" s="2" t="s">
        <v>603</v>
      </c>
    </row>
    <row r="37" spans="1:1" ht="30" customHeight="1" x14ac:dyDescent="0.4">
      <c r="A37" s="3" t="s">
        <v>7</v>
      </c>
    </row>
    <row r="38" spans="1:1" ht="35" x14ac:dyDescent="0.45">
      <c r="A38" s="2" t="s">
        <v>604</v>
      </c>
    </row>
    <row r="39" spans="1:1" ht="17.5" x14ac:dyDescent="0.45">
      <c r="A39" s="2"/>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1"/>
  <sheetViews>
    <sheetView showGridLines="0" workbookViewId="0"/>
  </sheetViews>
  <sheetFormatPr defaultColWidth="10.90625" defaultRowHeight="14.5" x14ac:dyDescent="0.35"/>
  <cols>
    <col min="1" max="1" width="105.7265625" customWidth="1"/>
  </cols>
  <sheetData>
    <row r="1" spans="1:1" ht="19.5" x14ac:dyDescent="0.45">
      <c r="A1" s="4" t="s">
        <v>15</v>
      </c>
    </row>
    <row r="2" spans="1:1" ht="17.5" x14ac:dyDescent="0.45">
      <c r="A2" s="2" t="s">
        <v>575</v>
      </c>
    </row>
    <row r="3" spans="1:1" ht="30" customHeight="1" x14ac:dyDescent="0.4">
      <c r="A3" s="5" t="s">
        <v>14</v>
      </c>
    </row>
    <row r="4" spans="1:1" ht="15.5" x14ac:dyDescent="0.35">
      <c r="A4" s="17" t="str">
        <f>HYPERLINK("#1!A1", "1 Median household wealth")</f>
        <v>1 Median household wealth</v>
      </c>
    </row>
    <row r="5" spans="1:1" ht="15.5" x14ac:dyDescent="0.35">
      <c r="A5" s="17" t="str">
        <f>HYPERLINK("#2!A1", "2 Household wealth by type of wealth")</f>
        <v>2 Household wealth by type of wealth</v>
      </c>
    </row>
    <row r="6" spans="1:1" ht="15.5" x14ac:dyDescent="0.35">
      <c r="A6" s="17" t="str">
        <f>HYPERLINK("#3!A1", "3 Household wealth by type of wealth (time series)")</f>
        <v>3 Household wealth by type of wealth (time series)</v>
      </c>
    </row>
    <row r="7" spans="1:1" ht="15.5" x14ac:dyDescent="0.35">
      <c r="A7" s="17" t="str">
        <f>HYPERLINK("#4!A1", "4 Household wealth by wealth type and age")</f>
        <v>4 Household wealth by wealth type and age</v>
      </c>
    </row>
    <row r="8" spans="1:1" ht="30" customHeight="1" x14ac:dyDescent="0.4">
      <c r="A8" s="5" t="s">
        <v>10</v>
      </c>
    </row>
    <row r="9" spans="1:1" ht="15.5" x14ac:dyDescent="0.35">
      <c r="A9" s="17" t="str">
        <f>HYPERLINK("#5!A1", "5 Wealth inequality and income inequality")</f>
        <v>5 Wealth inequality and income inequality</v>
      </c>
    </row>
    <row r="10" spans="1:1" ht="15.5" x14ac:dyDescent="0.35">
      <c r="A10" s="17" t="str">
        <f>HYPERLINK("#6!A1", "6 Household wealth by wealth decile")</f>
        <v>6 Household wealth by wealth decile</v>
      </c>
    </row>
    <row r="11" spans="1:1" ht="15.5" x14ac:dyDescent="0.35">
      <c r="A11" s="17" t="str">
        <f>HYPERLINK("#7!A1", "7 Household wealth by wealth decile (time series)")</f>
        <v>7 Household wealth by wealth decile (time series)</v>
      </c>
    </row>
    <row r="12" spans="1:1" ht="15.5" x14ac:dyDescent="0.35">
      <c r="A12" s="17" t="str">
        <f>HYPERLINK("#8!A1", "8 Age groups in each wealth decile")</f>
        <v>8 Age groups in each wealth decile</v>
      </c>
    </row>
    <row r="13" spans="1:1" ht="15.5" x14ac:dyDescent="0.35">
      <c r="A13" s="17" t="str">
        <f>HYPERLINK("#9!A1", "9 Gini coefficient of wealth inequality")</f>
        <v>9 Gini coefficient of wealth inequality</v>
      </c>
    </row>
    <row r="14" spans="1:1" ht="15.5" x14ac:dyDescent="0.35">
      <c r="A14" s="17" t="str">
        <f>HYPERLINK("#10!A1", "10 Palma ratio of wealth inequality")</f>
        <v>10 Palma ratio of wealth inequality</v>
      </c>
    </row>
    <row r="15" spans="1:1" ht="15.5" x14ac:dyDescent="0.35">
      <c r="A15" s="17" t="str">
        <f>HYPERLINK("#11!A1", "11 Total wealth of the 40% least wealthy, the middle 50%, the 10% wealthiest and the 1% wealthiest households")</f>
        <v>11 Total wealth of the 40% least wealthy, the middle 50%, the 10% wealthiest and the 1% wealthiest households</v>
      </c>
    </row>
    <row r="16" spans="1:1" ht="15.5" x14ac:dyDescent="0.35">
      <c r="A16" s="17" t="str">
        <f>HYPERLINK("#12!A1", "12 Absolute wealth gap between the wealthiest 10% and the least wealthy 40%")</f>
        <v>12 Absolute wealth gap between the wealthiest 10% and the least wealthy 40%</v>
      </c>
    </row>
    <row r="17" spans="1:1" ht="15.5" x14ac:dyDescent="0.35">
      <c r="A17" s="17" t="str">
        <f>HYPERLINK("#13!A1", "13 Gini coefficient by type of wealth")</f>
        <v>13 Gini coefficient by type of wealth</v>
      </c>
    </row>
    <row r="18" spans="1:1" ht="15.5" x14ac:dyDescent="0.35">
      <c r="A18" s="17" t="str">
        <f>HYPERLINK("#14!A1", "14 Individual wealth by age")</f>
        <v>14 Individual wealth by age</v>
      </c>
    </row>
    <row r="19" spans="1:1" ht="15.5" x14ac:dyDescent="0.35">
      <c r="A19" s="17" t="str">
        <f>HYPERLINK("#15!A1", "15 Individual wealth by economic status")</f>
        <v>15 Individual wealth by economic status</v>
      </c>
    </row>
    <row r="20" spans="1:1" ht="15.5" x14ac:dyDescent="0.35">
      <c r="A20" s="17" t="str">
        <f>HYPERLINK("#16!A1", "16 Individual wealth by qualification")</f>
        <v>16 Individual wealth by qualification</v>
      </c>
    </row>
    <row r="21" spans="1:1" ht="15.5" x14ac:dyDescent="0.35">
      <c r="A21" s="17" t="str">
        <f>HYPERLINK("#17!A1", "17 Individual wealth by marital status")</f>
        <v>17 Individual wealth by marital status</v>
      </c>
    </row>
    <row r="22" spans="1:1" ht="15.5" x14ac:dyDescent="0.35">
      <c r="A22" s="17" t="str">
        <f>HYPERLINK("#18!A1", "18 Individual wealth by sexual orientation")</f>
        <v>18 Individual wealth by sexual orientation</v>
      </c>
    </row>
    <row r="23" spans="1:1" ht="15.5" x14ac:dyDescent="0.35">
      <c r="A23" s="17" t="str">
        <f>HYPERLINK("#19!A1", "19 Individual wealth by religion")</f>
        <v>19 Individual wealth by religion</v>
      </c>
    </row>
    <row r="24" spans="1:1" ht="15.5" x14ac:dyDescent="0.35">
      <c r="A24" s="17" t="str">
        <f>HYPERLINK("#20!A1", "20 Individual wealth by ethnicity")</f>
        <v>20 Individual wealth by ethnicity</v>
      </c>
    </row>
    <row r="25" spans="1:1" ht="15.5" x14ac:dyDescent="0.35">
      <c r="A25" s="17" t="str">
        <f>HYPERLINK("#21!A1", "21 Individual wealth by disability")</f>
        <v>21 Individual wealth by disability</v>
      </c>
    </row>
    <row r="26" spans="1:1" ht="15.5" x14ac:dyDescent="0.35">
      <c r="A26" s="17" t="str">
        <f>HYPERLINK("#22!A1", "22 Individual wealth by sex")</f>
        <v>22 Individual wealth by sex</v>
      </c>
    </row>
    <row r="27" spans="1:1" ht="15.5" x14ac:dyDescent="0.35">
      <c r="A27" s="17" t="str">
        <f>HYPERLINK("#23!A1", "23 Household wealth by household income quintile")</f>
        <v>23 Household wealth by household income quintile</v>
      </c>
    </row>
    <row r="28" spans="1:1" ht="15.5" x14ac:dyDescent="0.35">
      <c r="A28" s="17" t="str">
        <f>HYPERLINK("#24!A1", "24 Household wealth by household type")</f>
        <v>24 Household wealth by household type</v>
      </c>
    </row>
    <row r="29" spans="1:1" ht="15.5" x14ac:dyDescent="0.35">
      <c r="A29" s="17" t="str">
        <f>HYPERLINK("#25!A1", "25 Household wealth by housing tenure")</f>
        <v>25 Household wealth by housing tenure</v>
      </c>
    </row>
    <row r="30" spans="1:1" ht="15.5" x14ac:dyDescent="0.35">
      <c r="A30" s="17" t="str">
        <f>HYPERLINK("#26!A1", "26 Household wealth in urban and rural areas")</f>
        <v>26 Household wealth in urban and rural areas</v>
      </c>
    </row>
    <row r="31" spans="1:1" ht="30" customHeight="1" x14ac:dyDescent="0.4">
      <c r="A31" s="5" t="s">
        <v>11</v>
      </c>
    </row>
    <row r="32" spans="1:1" ht="15.5" x14ac:dyDescent="0.35">
      <c r="A32" s="17" t="str">
        <f>HYPERLINK("#27!A1", "27 Median financial wealth by financial wealth decile")</f>
        <v>27 Median financial wealth by financial wealth decile</v>
      </c>
    </row>
    <row r="33" spans="1:1" ht="15.5" x14ac:dyDescent="0.35">
      <c r="A33" s="17" t="str">
        <f>HYPERLINK("#28!A1", "28 Median financial wealth by financial wealth decile (time series)")</f>
        <v>28 Median financial wealth by financial wealth decile (time series)</v>
      </c>
    </row>
    <row r="34" spans="1:1" ht="15.5" x14ac:dyDescent="0.35">
      <c r="A34" s="17" t="str">
        <f>HYPERLINK("#29!A1", "29 Financial vulnerability and resilience")</f>
        <v>29 Financial vulnerability and resilience</v>
      </c>
    </row>
    <row r="35" spans="1:1" ht="15.5" x14ac:dyDescent="0.35">
      <c r="A35" s="17" t="str">
        <f>HYPERLINK("#30!A1", "30 Financial vulnerability by household type")</f>
        <v>30 Financial vulnerability by household type</v>
      </c>
    </row>
    <row r="36" spans="1:1" ht="15.5" x14ac:dyDescent="0.35">
      <c r="A36" s="17" t="str">
        <f>HYPERLINK("#31!A1", "31 Financial vulnerability by economic status")</f>
        <v>31 Financial vulnerability by economic status</v>
      </c>
    </row>
    <row r="37" spans="1:1" ht="15.5" x14ac:dyDescent="0.35">
      <c r="A37" s="17" t="str">
        <f>HYPERLINK("#32!A1", "32 Financial vulnerability by housing tenure")</f>
        <v>32 Financial vulnerability by housing tenure</v>
      </c>
    </row>
    <row r="38" spans="1:1" ht="15.5" x14ac:dyDescent="0.35">
      <c r="A38" s="17" t="str">
        <f>HYPERLINK("#33!A1", "33 Financial vulnerability by income")</f>
        <v>33 Financial vulnerability by income</v>
      </c>
    </row>
    <row r="39" spans="1:1" ht="15.5" x14ac:dyDescent="0.35">
      <c r="A39" s="17" t="str">
        <f>HYPERLINK("#34!A1", "34 Financial vulnerability by qualification")</f>
        <v>34 Financial vulnerability by qualification</v>
      </c>
    </row>
    <row r="40" spans="1:1" ht="15.5" x14ac:dyDescent="0.35">
      <c r="A40" s="17" t="str">
        <f>HYPERLINK("#35!A1", "35 Financial vulnerability by age")</f>
        <v>35 Financial vulnerability by age</v>
      </c>
    </row>
    <row r="41" spans="1:1" ht="15.5" x14ac:dyDescent="0.35">
      <c r="A41" s="17" t="str">
        <f>HYPERLINK("#36!A1", "36 Financial vulnerability by marital status")</f>
        <v>36 Financial vulnerability by marital status</v>
      </c>
    </row>
    <row r="42" spans="1:1" ht="15.5" x14ac:dyDescent="0.35">
      <c r="A42" s="17" t="str">
        <f>HYPERLINK("#37!A1", "37 Financial vulnerability by whether there are children in the household")</f>
        <v>37 Financial vulnerability by whether there are children in the household</v>
      </c>
    </row>
    <row r="43" spans="1:1" ht="15.5" x14ac:dyDescent="0.35">
      <c r="A43" s="17" t="str">
        <f>HYPERLINK("#38!A1", "38 Financial vulnerability by disability")</f>
        <v>38 Financial vulnerability by disability</v>
      </c>
    </row>
    <row r="44" spans="1:1" ht="15.5" x14ac:dyDescent="0.35">
      <c r="A44" s="17" t="str">
        <f>HYPERLINK("#39!A1", "39 Financial vulnerability by sex")</f>
        <v>39 Financial vulnerability by sex</v>
      </c>
    </row>
    <row r="45" spans="1:1" ht="15.5" x14ac:dyDescent="0.35">
      <c r="A45" s="17" t="str">
        <f>HYPERLINK("#40!A1", "40 Financial vulnerability in urban and rural areas")</f>
        <v>40 Financial vulnerability in urban and rural areas</v>
      </c>
    </row>
    <row r="46" spans="1:1" ht="15.5" x14ac:dyDescent="0.35">
      <c r="A46" s="17" t="str">
        <f>HYPERLINK("#41!A1", "41 Financial vulnerability by ethnicity")</f>
        <v>41 Financial vulnerability by ethnicity</v>
      </c>
    </row>
    <row r="47" spans="1:1" ht="15.5" x14ac:dyDescent="0.35">
      <c r="A47" s="17" t="str">
        <f>HYPERLINK("#42!A1", "42 Households with unmanageable debt")</f>
        <v>42 Households with unmanageable debt</v>
      </c>
    </row>
    <row r="48" spans="1:1" ht="15.5" x14ac:dyDescent="0.35">
      <c r="A48" s="17" t="str">
        <f>HYPERLINK("#43!A1", "43 Households with unmanageable debt by economic status")</f>
        <v>43 Households with unmanageable debt by economic status</v>
      </c>
    </row>
    <row r="49" spans="1:1" ht="15.5" x14ac:dyDescent="0.35">
      <c r="A49" s="17" t="str">
        <f>HYPERLINK("#44!A1", "44 Households with unmanageable debt by household type")</f>
        <v>44 Households with unmanageable debt by household type</v>
      </c>
    </row>
    <row r="50" spans="1:1" ht="15.5" x14ac:dyDescent="0.35">
      <c r="A50" s="17" t="str">
        <f>HYPERLINK("#45!A1", "45 Households with unmanageable debt by housing tenure")</f>
        <v>45 Households with unmanageable debt by housing tenure</v>
      </c>
    </row>
    <row r="51" spans="1:1" ht="15.5" x14ac:dyDescent="0.35">
      <c r="A51" s="17" t="str">
        <f>HYPERLINK("#46!A1", "46 Households with unmanageable debt by ethnicity")</f>
        <v>46 Households with unmanageable debt by ethnicity</v>
      </c>
    </row>
    <row r="52" spans="1:1" ht="15.5" x14ac:dyDescent="0.35">
      <c r="A52" s="17" t="str">
        <f>HYPERLINK("#47!A1", "47 Households with unmanageable debt by age")</f>
        <v>47 Households with unmanageable debt by age</v>
      </c>
    </row>
    <row r="53" spans="1:1" ht="15.5" x14ac:dyDescent="0.35">
      <c r="A53" s="17" t="str">
        <f>HYPERLINK("#48!A1", "48 Households with unmanageable debt by whether there are children in the household")</f>
        <v>48 Households with unmanageable debt by whether there are children in the household</v>
      </c>
    </row>
    <row r="54" spans="1:1" ht="15.5" x14ac:dyDescent="0.35">
      <c r="A54" s="17" t="str">
        <f>HYPERLINK("#49!A1", "49 Households with unmanageable debt by income")</f>
        <v>49 Households with unmanageable debt by income</v>
      </c>
    </row>
    <row r="55" spans="1:1" ht="15.5" x14ac:dyDescent="0.35">
      <c r="A55" s="17" t="str">
        <f>HYPERLINK("#50!A1", "50 Households with unmanageable debt by marital status")</f>
        <v>50 Households with unmanageable debt by marital status</v>
      </c>
    </row>
    <row r="56" spans="1:1" ht="15.5" x14ac:dyDescent="0.35">
      <c r="A56" s="17" t="str">
        <f>HYPERLINK("#51!A1", "51 Households with unmanageable debt by disability")</f>
        <v>51 Households with unmanageable debt by disability</v>
      </c>
    </row>
    <row r="57" spans="1:1" ht="15.5" x14ac:dyDescent="0.35">
      <c r="A57" s="17" t="str">
        <f>HYPERLINK("#52!A1", "52 Households with unmanageable debt by qualification")</f>
        <v>52 Households with unmanageable debt by qualification</v>
      </c>
    </row>
    <row r="58" spans="1:1" ht="15.5" x14ac:dyDescent="0.35">
      <c r="A58" s="17" t="str">
        <f>HYPERLINK("#53!A1", "53 Households with unmanageable debt by sex")</f>
        <v>53 Households with unmanageable debt by sex</v>
      </c>
    </row>
    <row r="59" spans="1:1" ht="15.5" x14ac:dyDescent="0.35">
      <c r="A59" s="17" t="str">
        <f>HYPERLINK("#54!A1", "54 Households with unmanageable debt in urban and rural areas")</f>
        <v>54 Households with unmanageable debt in urban and rural areas</v>
      </c>
    </row>
    <row r="60" spans="1:1" ht="30" customHeight="1" x14ac:dyDescent="0.4">
      <c r="A60" s="5" t="s">
        <v>12</v>
      </c>
    </row>
    <row r="61" spans="1:1" ht="15.5" x14ac:dyDescent="0.35">
      <c r="A61" s="17" t="str">
        <f>HYPERLINK("#55!A1", "55 Median property wealth by property wealth decile")</f>
        <v>55 Median property wealth by property wealth decile</v>
      </c>
    </row>
    <row r="62" spans="1:1" ht="15.5" x14ac:dyDescent="0.35">
      <c r="A62" s="17" t="str">
        <f>HYPERLINK("#56!A1", "56 Median property wealth by property wealth decile (time series)")</f>
        <v>56 Median property wealth by property wealth decile (time series)</v>
      </c>
    </row>
    <row r="63" spans="1:1" ht="15.5" x14ac:dyDescent="0.35">
      <c r="A63" s="17" t="str">
        <f>HYPERLINK("#57!A1", "57 Households with property wealth by household type")</f>
        <v>57 Households with property wealth by household type</v>
      </c>
    </row>
    <row r="64" spans="1:1" ht="15.5" x14ac:dyDescent="0.35">
      <c r="A64" s="17" t="str">
        <f>HYPERLINK("#58!A1", "58 Households with property wealth by income")</f>
        <v>58 Households with property wealth by income</v>
      </c>
    </row>
    <row r="65" spans="1:1" ht="15.5" x14ac:dyDescent="0.35">
      <c r="A65" s="17" t="str">
        <f>HYPERLINK("#59!A1", "59 Households with property wealth by economic status")</f>
        <v>59 Households with property wealth by economic status</v>
      </c>
    </row>
    <row r="66" spans="1:1" ht="15.5" x14ac:dyDescent="0.35">
      <c r="A66" s="17" t="str">
        <f>HYPERLINK("#60!A1", "60 Households with property wealth by qualification")</f>
        <v>60 Households with property wealth by qualification</v>
      </c>
    </row>
    <row r="67" spans="1:1" ht="15.5" x14ac:dyDescent="0.35">
      <c r="A67" s="17" t="str">
        <f>HYPERLINK("#61!A1", "61 Households with property wealth by marital status")</f>
        <v>61 Households with property wealth by marital status</v>
      </c>
    </row>
    <row r="68" spans="1:1" ht="15.5" x14ac:dyDescent="0.35">
      <c r="A68" s="17" t="str">
        <f>HYPERLINK("#62!A1", "62 Households with property wealth by age")</f>
        <v>62 Households with property wealth by age</v>
      </c>
    </row>
    <row r="69" spans="1:1" ht="15.5" x14ac:dyDescent="0.35">
      <c r="A69" s="17" t="str">
        <f>HYPERLINK("#63!A1", "63 Households with property wealth by disability")</f>
        <v>63 Households with property wealth by disability</v>
      </c>
    </row>
    <row r="70" spans="1:1" ht="15.5" x14ac:dyDescent="0.35">
      <c r="A70" s="17" t="str">
        <f>HYPERLINK("#64!A1", "64 Households with property wealth by ethnicity")</f>
        <v>64 Households with property wealth by ethnicity</v>
      </c>
    </row>
    <row r="71" spans="1:1" ht="15.5" x14ac:dyDescent="0.35">
      <c r="A71" s="17" t="str">
        <f>HYPERLINK("#65!A1", "65 Households with property wealth by sex")</f>
        <v>65 Households with property wealth by sex</v>
      </c>
    </row>
    <row r="72" spans="1:1" ht="15.5" x14ac:dyDescent="0.35">
      <c r="A72" s="17" t="str">
        <f>HYPERLINK("#66!A1", "66 Households with property wealth in urban and rural areas")</f>
        <v>66 Households with property wealth in urban and rural areas</v>
      </c>
    </row>
    <row r="73" spans="1:1" ht="15.5" x14ac:dyDescent="0.35">
      <c r="A73" s="17" t="str">
        <f>HYPERLINK("#67!A1", "67 Households with property wealth by whether there are children in the household")</f>
        <v>67 Households with property wealth by whether there are children in the household</v>
      </c>
    </row>
    <row r="74" spans="1:1" ht="30" customHeight="1" x14ac:dyDescent="0.4">
      <c r="A74" s="5" t="s">
        <v>13</v>
      </c>
    </row>
    <row r="75" spans="1:1" ht="15.5" x14ac:dyDescent="0.35">
      <c r="A75" s="17" t="str">
        <f>HYPERLINK("#68!A1", "68 Median pension wealth by pension wealth decile")</f>
        <v>68 Median pension wealth by pension wealth decile</v>
      </c>
    </row>
    <row r="76" spans="1:1" ht="15.5" x14ac:dyDescent="0.35">
      <c r="A76" s="17" t="str">
        <f>HYPERLINK("#69!A1", "69 Median pension wealth by pension wealth decile (time series)")</f>
        <v>69 Median pension wealth by pension wealth decile (time series)</v>
      </c>
    </row>
    <row r="77" spans="1:1" ht="15.5" x14ac:dyDescent="0.35">
      <c r="A77" s="17" t="str">
        <f>HYPERLINK("#70!A1", "70 Adult men and women with private pensions (not yet in payment) by age")</f>
        <v>70 Adult men and women with private pensions (not yet in payment) by age</v>
      </c>
    </row>
    <row r="78" spans="1:1" ht="15.5" x14ac:dyDescent="0.35">
      <c r="A78" s="17" t="str">
        <f>HYPERLINK("#71!A1", "71 Adult men and women with private pensions (not yet in payment) (time series)")</f>
        <v>71 Adult men and women with private pensions (not yet in payment) (time series)</v>
      </c>
    </row>
    <row r="79" spans="1:1" ht="15.5" x14ac:dyDescent="0.35">
      <c r="A79" s="17" t="str">
        <f>HYPERLINK("#72!A1", "72 Adult men and women with private pensions in payment by age")</f>
        <v>72 Adult men and women with private pensions in payment by age</v>
      </c>
    </row>
    <row r="80" spans="1:1" ht="15.5" x14ac:dyDescent="0.35">
      <c r="A80" s="17" t="str">
        <f>HYPERLINK("#73!A1", "73 Adult men and women with private pensions in payment (time series)")</f>
        <v>73 Adult men and women with private pensions in payment (time series)</v>
      </c>
    </row>
    <row r="81" spans="1:1" ht="15.5" x14ac:dyDescent="0.35">
      <c r="A81" s="17" t="str">
        <f>HYPERLINK("#74!A1", "74 Adults with private pension wealth by income")</f>
        <v>74 Adults with private pension wealth by income</v>
      </c>
    </row>
    <row r="82" spans="1:1" ht="15.5" x14ac:dyDescent="0.35">
      <c r="A82" s="17" t="str">
        <f>HYPERLINK("#75!A1", "75 Adults with private pension wealth by qualification")</f>
        <v>75 Adults with private pension wealth by qualification</v>
      </c>
    </row>
    <row r="83" spans="1:1" ht="15.5" x14ac:dyDescent="0.35">
      <c r="A83" s="17" t="str">
        <f>HYPERLINK("#76!A1", "76 Adults with private pension wealth by economic status")</f>
        <v>76 Adults with private pension wealth by economic status</v>
      </c>
    </row>
    <row r="84" spans="1:1" ht="15.5" x14ac:dyDescent="0.35">
      <c r="A84" s="17" t="str">
        <f>HYPERLINK("#77!A1", "77 Adults with private pension wealth by sexual orientation")</f>
        <v>77 Adults with private pension wealth by sexual orientation</v>
      </c>
    </row>
    <row r="85" spans="1:1" ht="15.5" x14ac:dyDescent="0.35">
      <c r="A85" s="17" t="str">
        <f>HYPERLINK("#78!A1", "78 Adults with private pension wealth by marital status")</f>
        <v>78 Adults with private pension wealth by marital status</v>
      </c>
    </row>
    <row r="86" spans="1:1" ht="15.5" x14ac:dyDescent="0.35">
      <c r="A86" s="17" t="str">
        <f>HYPERLINK("#79!A1", "79 Adults with private pension wealth by age")</f>
        <v>79 Adults with private pension wealth by age</v>
      </c>
    </row>
    <row r="87" spans="1:1" ht="15.5" x14ac:dyDescent="0.35">
      <c r="A87" s="17" t="str">
        <f>HYPERLINK("#80!A1", "80 Adults with private pension wealth by religion")</f>
        <v>80 Adults with private pension wealth by religion</v>
      </c>
    </row>
    <row r="88" spans="1:1" ht="15.5" x14ac:dyDescent="0.35">
      <c r="A88" s="17" t="str">
        <f>HYPERLINK("#81!A1", "81 Adults with private pension wealth by ethnicity")</f>
        <v>81 Adults with private pension wealth by ethnicity</v>
      </c>
    </row>
    <row r="89" spans="1:1" ht="15.5" x14ac:dyDescent="0.35">
      <c r="A89" s="17" t="str">
        <f>HYPERLINK("#82!A1", "82 Adults with private pension wealth by disability")</f>
        <v>82 Adults with private pension wealth by disability</v>
      </c>
    </row>
    <row r="90" spans="1:1" ht="15.5" x14ac:dyDescent="0.35">
      <c r="A90" s="17" t="str">
        <f>HYPERLINK("#83!A1", "83 Adults with private pension wealth by sex")</f>
        <v>83 Adults with private pension wealth by sex</v>
      </c>
    </row>
    <row r="91" spans="1:1" ht="17.5" x14ac:dyDescent="0.45">
      <c r="A91" s="6"/>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17</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395</v>
      </c>
      <c r="B7" s="12">
        <v>199100</v>
      </c>
      <c r="C7" s="12">
        <v>195200</v>
      </c>
      <c r="D7" s="12">
        <v>196600</v>
      </c>
      <c r="E7" s="12">
        <v>210400</v>
      </c>
      <c r="F7" s="12">
        <v>260000</v>
      </c>
      <c r="G7" s="12">
        <v>252000</v>
      </c>
      <c r="H7" s="12">
        <v>222500</v>
      </c>
      <c r="I7" s="12" t="s">
        <v>396</v>
      </c>
      <c r="J7" s="12">
        <v>239500</v>
      </c>
      <c r="K7" s="12"/>
      <c r="L7" s="12"/>
      <c r="M7" s="12"/>
      <c r="N7" s="12"/>
      <c r="O7" s="12"/>
    </row>
    <row r="8" spans="1:15" ht="30" customHeight="1" x14ac:dyDescent="0.4">
      <c r="A8" s="5" t="s">
        <v>16</v>
      </c>
      <c r="B8" s="13"/>
      <c r="C8" s="13"/>
      <c r="D8" s="13"/>
      <c r="E8" s="13"/>
      <c r="F8" s="13"/>
      <c r="G8" s="13"/>
      <c r="H8" s="13"/>
      <c r="I8" s="13"/>
      <c r="J8" s="13"/>
      <c r="K8" s="13"/>
      <c r="L8" s="13"/>
      <c r="M8" s="13"/>
      <c r="N8" s="13"/>
      <c r="O8" s="13"/>
    </row>
    <row r="9" spans="1:15" x14ac:dyDescent="0.35">
      <c r="A9" s="11" t="s">
        <v>386</v>
      </c>
      <c r="B9" s="13" t="s">
        <v>387</v>
      </c>
      <c r="C9" s="13" t="s">
        <v>388</v>
      </c>
      <c r="D9" s="13" t="s">
        <v>389</v>
      </c>
      <c r="E9" s="13" t="s">
        <v>390</v>
      </c>
      <c r="F9" s="13" t="s">
        <v>391</v>
      </c>
      <c r="G9" s="13" t="s">
        <v>392</v>
      </c>
      <c r="H9" s="13" t="s">
        <v>393</v>
      </c>
      <c r="I9" s="13" t="s">
        <v>381</v>
      </c>
      <c r="J9" s="13" t="s">
        <v>394</v>
      </c>
      <c r="K9" s="13"/>
      <c r="L9" s="13"/>
      <c r="M9" s="13"/>
      <c r="N9" s="13"/>
      <c r="O9" s="13"/>
    </row>
    <row r="10" spans="1:15" x14ac:dyDescent="0.35">
      <c r="A10" s="8" t="s">
        <v>395</v>
      </c>
      <c r="B10" s="12">
        <v>1599</v>
      </c>
      <c r="C10" s="12">
        <v>1995</v>
      </c>
      <c r="D10" s="12">
        <v>2069</v>
      </c>
      <c r="E10" s="12">
        <v>1890</v>
      </c>
      <c r="F10" s="12">
        <v>1696</v>
      </c>
      <c r="G10" s="12">
        <v>1607</v>
      </c>
      <c r="H10" s="12">
        <v>1514</v>
      </c>
      <c r="I10" s="12" t="s">
        <v>381</v>
      </c>
      <c r="J10" s="12">
        <v>1229</v>
      </c>
      <c r="K10" s="12"/>
      <c r="L10" s="12"/>
      <c r="M10" s="12"/>
      <c r="N10" s="12"/>
      <c r="O10" s="12"/>
    </row>
    <row r="11" spans="1:15" x14ac:dyDescent="0.35">
      <c r="A11" s="11"/>
      <c r="B11" s="13"/>
      <c r="C11" s="13"/>
      <c r="D11" s="13"/>
      <c r="E11" s="13"/>
      <c r="F11" s="13"/>
      <c r="G11" s="13"/>
      <c r="H11" s="13"/>
      <c r="I11" s="13"/>
      <c r="J11" s="13"/>
      <c r="K11" s="13"/>
      <c r="L11" s="13"/>
      <c r="M11" s="13"/>
      <c r="N11" s="13"/>
      <c r="O11" s="13"/>
    </row>
    <row r="12" spans="1:15" x14ac:dyDescent="0.35">
      <c r="A12" s="11"/>
      <c r="B12" s="13"/>
      <c r="C12" s="13"/>
      <c r="D12" s="13"/>
      <c r="E12" s="13"/>
      <c r="F12" s="13"/>
      <c r="G12" s="13"/>
      <c r="H12" s="13"/>
      <c r="I12" s="13"/>
      <c r="J12" s="13"/>
      <c r="K12" s="13"/>
      <c r="L12" s="13"/>
      <c r="M12" s="13"/>
      <c r="N12" s="13"/>
      <c r="O12" s="13"/>
    </row>
    <row r="13" spans="1:15" x14ac:dyDescent="0.35">
      <c r="A13" s="11"/>
      <c r="B13" s="9"/>
      <c r="C13" s="9"/>
      <c r="D13" s="9"/>
      <c r="E13" s="9"/>
      <c r="F13" s="9"/>
      <c r="G13" s="9"/>
      <c r="H13" s="9"/>
      <c r="I13" s="9"/>
      <c r="J13" s="9"/>
      <c r="K13" s="9"/>
      <c r="L13" s="9"/>
      <c r="M13" s="9"/>
      <c r="N13" s="9"/>
      <c r="O13" s="9"/>
    </row>
    <row r="14" spans="1:15" x14ac:dyDescent="0.35">
      <c r="A14" s="11"/>
      <c r="B14" s="9"/>
      <c r="C14" s="9"/>
      <c r="D14" s="9"/>
      <c r="E14" s="9"/>
      <c r="F14" s="9"/>
      <c r="G14" s="9"/>
      <c r="H14" s="9"/>
      <c r="I14" s="9"/>
      <c r="J14" s="9"/>
      <c r="K14" s="9"/>
      <c r="L14" s="9"/>
      <c r="M14" s="9"/>
      <c r="N14" s="9"/>
      <c r="O14" s="9"/>
    </row>
    <row r="15" spans="1:15" x14ac:dyDescent="0.35">
      <c r="A15" s="11"/>
      <c r="B15" s="9"/>
      <c r="C15" s="9"/>
      <c r="D15" s="9"/>
      <c r="E15" s="9"/>
      <c r="F15" s="9"/>
      <c r="G15" s="9"/>
      <c r="H15" s="9"/>
      <c r="I15" s="9"/>
      <c r="J15" s="9"/>
      <c r="K15" s="9"/>
      <c r="L15" s="9"/>
      <c r="M15" s="9"/>
      <c r="N15" s="9"/>
      <c r="O15" s="9"/>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8" t="s">
        <v>397</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20</v>
      </c>
      <c r="B6" s="9"/>
      <c r="C6" s="9"/>
      <c r="D6" s="9"/>
      <c r="E6" s="9"/>
      <c r="F6" s="9"/>
      <c r="G6" s="9"/>
      <c r="H6" s="9"/>
      <c r="I6" s="9"/>
      <c r="J6" s="9"/>
      <c r="K6" s="9"/>
      <c r="L6" s="9"/>
      <c r="M6" s="9"/>
      <c r="N6" s="9"/>
      <c r="O6" s="9"/>
    </row>
    <row r="7" spans="1:15" x14ac:dyDescent="0.35">
      <c r="A7" s="11" t="s">
        <v>398</v>
      </c>
      <c r="B7" s="9" t="s">
        <v>399</v>
      </c>
      <c r="C7" s="9"/>
      <c r="D7" s="9"/>
      <c r="E7" s="9"/>
      <c r="F7" s="9"/>
      <c r="G7" s="9"/>
      <c r="H7" s="9"/>
      <c r="I7" s="9"/>
      <c r="J7" s="9"/>
      <c r="K7" s="9"/>
      <c r="L7" s="9"/>
      <c r="M7" s="9"/>
      <c r="N7" s="9"/>
      <c r="O7" s="9"/>
    </row>
    <row r="8" spans="1:15" x14ac:dyDescent="0.35">
      <c r="A8" s="8" t="s">
        <v>400</v>
      </c>
      <c r="B8" s="12">
        <v>12000</v>
      </c>
      <c r="C8" s="12"/>
      <c r="D8" s="12"/>
      <c r="E8" s="12"/>
      <c r="F8" s="12"/>
      <c r="G8" s="12"/>
      <c r="H8" s="12"/>
      <c r="I8" s="12"/>
      <c r="J8" s="12"/>
      <c r="K8" s="12"/>
      <c r="L8" s="12"/>
      <c r="M8" s="12"/>
      <c r="N8" s="12"/>
      <c r="O8" s="12"/>
    </row>
    <row r="9" spans="1:15" x14ac:dyDescent="0.35">
      <c r="A9" s="11" t="s">
        <v>401</v>
      </c>
      <c r="B9" s="13">
        <v>40500</v>
      </c>
      <c r="C9" s="13"/>
      <c r="D9" s="13"/>
      <c r="E9" s="13"/>
      <c r="F9" s="13"/>
      <c r="G9" s="13"/>
      <c r="H9" s="13"/>
      <c r="I9" s="13"/>
      <c r="J9" s="13"/>
      <c r="K9" s="13"/>
      <c r="L9" s="13"/>
      <c r="M9" s="13"/>
      <c r="N9" s="13"/>
      <c r="O9" s="13"/>
    </row>
    <row r="10" spans="1:15" x14ac:dyDescent="0.35">
      <c r="A10" s="11" t="s">
        <v>402</v>
      </c>
      <c r="B10" s="13">
        <v>72000</v>
      </c>
      <c r="C10" s="13"/>
      <c r="D10" s="13"/>
      <c r="E10" s="13"/>
      <c r="F10" s="13"/>
      <c r="G10" s="13"/>
      <c r="H10" s="13"/>
      <c r="I10" s="13"/>
      <c r="J10" s="13"/>
      <c r="K10" s="13"/>
      <c r="L10" s="13"/>
      <c r="M10" s="13"/>
      <c r="N10" s="13"/>
      <c r="O10" s="13"/>
    </row>
    <row r="11" spans="1:15" x14ac:dyDescent="0.35">
      <c r="A11" s="11" t="s">
        <v>403</v>
      </c>
      <c r="B11" s="13">
        <v>62000</v>
      </c>
      <c r="C11" s="13"/>
      <c r="D11" s="13"/>
      <c r="E11" s="13"/>
      <c r="F11" s="13"/>
      <c r="G11" s="13"/>
      <c r="H11" s="13"/>
      <c r="I11" s="13"/>
      <c r="J11" s="13"/>
      <c r="K11" s="13"/>
      <c r="L11" s="13"/>
      <c r="M11" s="13"/>
      <c r="N11" s="13"/>
      <c r="O11" s="13"/>
    </row>
    <row r="12" spans="1:15" ht="30" customHeight="1" x14ac:dyDescent="0.4">
      <c r="A12" s="5" t="s">
        <v>19</v>
      </c>
      <c r="B12" s="13"/>
      <c r="C12" s="13"/>
      <c r="D12" s="13"/>
      <c r="E12" s="13"/>
      <c r="F12" s="13"/>
      <c r="G12" s="13"/>
      <c r="H12" s="13"/>
      <c r="I12" s="13"/>
      <c r="J12" s="13"/>
      <c r="K12" s="13"/>
      <c r="L12" s="13"/>
      <c r="M12" s="13"/>
      <c r="N12" s="13"/>
      <c r="O12" s="13"/>
    </row>
    <row r="13" spans="1:15" x14ac:dyDescent="0.35">
      <c r="A13" s="11" t="s">
        <v>398</v>
      </c>
      <c r="B13" s="13" t="s">
        <v>404</v>
      </c>
      <c r="C13" s="13"/>
      <c r="D13" s="13"/>
      <c r="E13" s="13"/>
      <c r="F13" s="13"/>
      <c r="G13" s="13"/>
      <c r="H13" s="13"/>
      <c r="I13" s="13"/>
      <c r="J13" s="13"/>
      <c r="K13" s="13"/>
      <c r="L13" s="13"/>
      <c r="M13" s="13"/>
      <c r="N13" s="13"/>
      <c r="O13" s="13"/>
    </row>
    <row r="14" spans="1:15" x14ac:dyDescent="0.35">
      <c r="A14" s="8" t="s">
        <v>400</v>
      </c>
      <c r="B14" s="12">
        <v>1229</v>
      </c>
      <c r="C14" s="12"/>
      <c r="D14" s="12"/>
      <c r="E14" s="12"/>
      <c r="F14" s="12"/>
      <c r="G14" s="12"/>
      <c r="H14" s="12"/>
      <c r="I14" s="12"/>
      <c r="J14" s="12"/>
      <c r="K14" s="12"/>
      <c r="L14" s="12"/>
      <c r="M14" s="12"/>
      <c r="N14" s="12"/>
      <c r="O14" s="12"/>
    </row>
    <row r="15" spans="1:15" x14ac:dyDescent="0.35">
      <c r="A15" s="11" t="s">
        <v>401</v>
      </c>
      <c r="B15" s="13">
        <v>1229</v>
      </c>
      <c r="C15" s="13"/>
      <c r="D15" s="13"/>
      <c r="E15" s="13"/>
      <c r="F15" s="13"/>
      <c r="G15" s="13"/>
      <c r="H15" s="13"/>
      <c r="I15" s="13"/>
      <c r="J15" s="13"/>
      <c r="K15" s="13"/>
      <c r="L15" s="13"/>
      <c r="M15" s="13"/>
      <c r="N15" s="13"/>
      <c r="O15" s="13"/>
    </row>
    <row r="16" spans="1:15" x14ac:dyDescent="0.35">
      <c r="A16" s="11" t="s">
        <v>402</v>
      </c>
      <c r="B16" s="13">
        <v>1229</v>
      </c>
      <c r="C16" s="13"/>
      <c r="D16" s="13"/>
      <c r="E16" s="13"/>
      <c r="F16" s="13"/>
      <c r="G16" s="13"/>
      <c r="H16" s="13"/>
      <c r="I16" s="13"/>
      <c r="J16" s="13"/>
      <c r="K16" s="13"/>
      <c r="L16" s="13"/>
      <c r="M16" s="13"/>
      <c r="N16" s="13"/>
      <c r="O16" s="13"/>
    </row>
    <row r="17" spans="1:15" x14ac:dyDescent="0.35">
      <c r="A17" s="11" t="s">
        <v>403</v>
      </c>
      <c r="B17" s="13">
        <v>1229</v>
      </c>
      <c r="C17" s="13"/>
      <c r="D17" s="13"/>
      <c r="E17" s="13"/>
      <c r="F17" s="13"/>
      <c r="G17" s="13"/>
      <c r="H17" s="13"/>
      <c r="I17" s="13"/>
      <c r="J17" s="13"/>
      <c r="K17" s="13"/>
      <c r="L17" s="13"/>
      <c r="M17" s="13"/>
      <c r="N17" s="13"/>
      <c r="O17" s="13"/>
    </row>
    <row r="18" spans="1:15" x14ac:dyDescent="0.35">
      <c r="A18" s="11"/>
      <c r="B18" s="13"/>
      <c r="C18" s="13"/>
      <c r="D18" s="13"/>
      <c r="E18" s="13"/>
      <c r="F18" s="13"/>
      <c r="G18" s="13"/>
      <c r="H18" s="13"/>
      <c r="I18" s="13"/>
      <c r="J18" s="13"/>
      <c r="K18" s="13"/>
      <c r="L18" s="13"/>
      <c r="M18" s="13"/>
      <c r="N18" s="13"/>
      <c r="O18" s="13"/>
    </row>
    <row r="19" spans="1:15" x14ac:dyDescent="0.35">
      <c r="A19" s="11"/>
      <c r="B19" s="13"/>
      <c r="C19" s="13"/>
      <c r="D19" s="13"/>
      <c r="E19" s="13"/>
      <c r="F19" s="13"/>
      <c r="G19" s="13"/>
      <c r="H19" s="13"/>
      <c r="I19" s="13"/>
      <c r="J19" s="13"/>
      <c r="K19" s="13"/>
      <c r="L19" s="13"/>
      <c r="M19" s="13"/>
      <c r="N19" s="13"/>
      <c r="O19" s="13"/>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8" t="s">
        <v>397</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23</v>
      </c>
      <c r="B6" s="9"/>
      <c r="C6" s="9"/>
      <c r="D6" s="9"/>
      <c r="E6" s="9"/>
      <c r="F6" s="9"/>
      <c r="G6" s="9"/>
      <c r="H6" s="9"/>
      <c r="I6" s="9"/>
      <c r="J6" s="9"/>
      <c r="K6" s="9"/>
      <c r="L6" s="9"/>
      <c r="M6" s="9"/>
      <c r="N6" s="9"/>
      <c r="O6" s="9"/>
    </row>
    <row r="7" spans="1:15" x14ac:dyDescent="0.35">
      <c r="A7" s="11" t="s">
        <v>398</v>
      </c>
      <c r="B7" s="9" t="s">
        <v>387</v>
      </c>
      <c r="C7" s="9" t="s">
        <v>388</v>
      </c>
      <c r="D7" s="9" t="s">
        <v>389</v>
      </c>
      <c r="E7" s="9" t="s">
        <v>390</v>
      </c>
      <c r="F7" s="9" t="s">
        <v>391</v>
      </c>
      <c r="G7" s="9" t="s">
        <v>392</v>
      </c>
      <c r="H7" s="9" t="s">
        <v>393</v>
      </c>
      <c r="I7" s="9" t="s">
        <v>381</v>
      </c>
      <c r="J7" s="9" t="s">
        <v>394</v>
      </c>
      <c r="K7" s="9"/>
      <c r="L7" s="9"/>
      <c r="M7" s="9"/>
      <c r="N7" s="9"/>
      <c r="O7" s="9"/>
    </row>
    <row r="8" spans="1:15" x14ac:dyDescent="0.35">
      <c r="A8" s="8" t="s">
        <v>400</v>
      </c>
      <c r="B8" s="12">
        <v>5800</v>
      </c>
      <c r="C8" s="12">
        <v>7100</v>
      </c>
      <c r="D8" s="12">
        <v>4000</v>
      </c>
      <c r="E8" s="12">
        <v>3900</v>
      </c>
      <c r="F8" s="12">
        <v>4900</v>
      </c>
      <c r="G8" s="12">
        <v>5900</v>
      </c>
      <c r="H8" s="12">
        <v>6900</v>
      </c>
      <c r="I8" s="12" t="s">
        <v>381</v>
      </c>
      <c r="J8" s="12">
        <v>12000</v>
      </c>
      <c r="K8" s="12"/>
      <c r="L8" s="12"/>
      <c r="M8" s="12"/>
      <c r="N8" s="12"/>
      <c r="O8" s="12"/>
    </row>
    <row r="9" spans="1:15" x14ac:dyDescent="0.35">
      <c r="A9" s="11" t="s">
        <v>401</v>
      </c>
      <c r="B9" s="13">
        <v>36600</v>
      </c>
      <c r="C9" s="13">
        <v>34000</v>
      </c>
      <c r="D9" s="13">
        <v>39300</v>
      </c>
      <c r="E9" s="13">
        <v>39600</v>
      </c>
      <c r="F9" s="13">
        <v>41100</v>
      </c>
      <c r="G9" s="13">
        <v>42900</v>
      </c>
      <c r="H9" s="13">
        <v>39800</v>
      </c>
      <c r="I9" s="13" t="s">
        <v>381</v>
      </c>
      <c r="J9" s="13">
        <v>40500</v>
      </c>
      <c r="K9" s="13"/>
      <c r="L9" s="13"/>
      <c r="M9" s="13"/>
      <c r="N9" s="13"/>
      <c r="O9" s="13"/>
    </row>
    <row r="10" spans="1:15" x14ac:dyDescent="0.35">
      <c r="A10" s="11" t="s">
        <v>402</v>
      </c>
      <c r="B10" s="13">
        <v>82500</v>
      </c>
      <c r="C10" s="13">
        <v>75600</v>
      </c>
      <c r="D10" s="13">
        <v>75000</v>
      </c>
      <c r="E10" s="13">
        <v>67800</v>
      </c>
      <c r="F10" s="13">
        <v>66600</v>
      </c>
      <c r="G10" s="13">
        <v>70200</v>
      </c>
      <c r="H10" s="13">
        <v>69700</v>
      </c>
      <c r="I10" s="13" t="s">
        <v>381</v>
      </c>
      <c r="J10" s="13">
        <v>72000</v>
      </c>
      <c r="K10" s="13"/>
      <c r="L10" s="13"/>
      <c r="M10" s="13"/>
      <c r="N10" s="13"/>
      <c r="O10" s="13"/>
    </row>
    <row r="11" spans="1:15" x14ac:dyDescent="0.35">
      <c r="A11" s="11" t="s">
        <v>403</v>
      </c>
      <c r="B11" s="13">
        <v>32000</v>
      </c>
      <c r="C11" s="13">
        <v>34900</v>
      </c>
      <c r="D11" s="13">
        <v>40300</v>
      </c>
      <c r="E11" s="13">
        <v>51200</v>
      </c>
      <c r="F11" s="13">
        <v>78800</v>
      </c>
      <c r="G11" s="13">
        <v>75800</v>
      </c>
      <c r="H11" s="13">
        <v>59200</v>
      </c>
      <c r="I11" s="13" t="s">
        <v>396</v>
      </c>
      <c r="J11" s="13">
        <v>62000</v>
      </c>
      <c r="K11" s="13"/>
      <c r="L11" s="13"/>
      <c r="M11" s="13"/>
      <c r="N11" s="13"/>
      <c r="O11" s="13"/>
    </row>
    <row r="12" spans="1:15" ht="30" customHeight="1" x14ac:dyDescent="0.4">
      <c r="A12" s="5" t="s">
        <v>22</v>
      </c>
      <c r="B12" s="13"/>
      <c r="C12" s="13"/>
      <c r="D12" s="13"/>
      <c r="E12" s="13"/>
      <c r="F12" s="13"/>
      <c r="G12" s="13"/>
      <c r="H12" s="13"/>
      <c r="I12" s="13"/>
      <c r="J12" s="13"/>
      <c r="K12" s="13"/>
      <c r="L12" s="13"/>
      <c r="M12" s="13"/>
      <c r="N12" s="13"/>
      <c r="O12" s="13"/>
    </row>
    <row r="13" spans="1:15" x14ac:dyDescent="0.35">
      <c r="A13" s="11" t="s">
        <v>398</v>
      </c>
      <c r="B13" s="13" t="s">
        <v>387</v>
      </c>
      <c r="C13" s="13" t="s">
        <v>388</v>
      </c>
      <c r="D13" s="13" t="s">
        <v>389</v>
      </c>
      <c r="E13" s="13" t="s">
        <v>390</v>
      </c>
      <c r="F13" s="13" t="s">
        <v>391</v>
      </c>
      <c r="G13" s="13" t="s">
        <v>392</v>
      </c>
      <c r="H13" s="13" t="s">
        <v>393</v>
      </c>
      <c r="I13" s="13" t="s">
        <v>381</v>
      </c>
      <c r="J13" s="13" t="s">
        <v>394</v>
      </c>
      <c r="K13" s="13"/>
      <c r="L13" s="13"/>
      <c r="M13" s="13"/>
      <c r="N13" s="13"/>
      <c r="O13" s="13"/>
    </row>
    <row r="14" spans="1:15" x14ac:dyDescent="0.35">
      <c r="A14" s="8" t="s">
        <v>400</v>
      </c>
      <c r="B14" s="12">
        <v>2833</v>
      </c>
      <c r="C14" s="12">
        <v>1995</v>
      </c>
      <c r="D14" s="12">
        <v>2069</v>
      </c>
      <c r="E14" s="12">
        <v>1890</v>
      </c>
      <c r="F14" s="12">
        <v>1696</v>
      </c>
      <c r="G14" s="12">
        <v>1607</v>
      </c>
      <c r="H14" s="12">
        <v>1514</v>
      </c>
      <c r="I14" s="12" t="s">
        <v>381</v>
      </c>
      <c r="J14" s="12">
        <v>1229</v>
      </c>
      <c r="K14" s="12"/>
      <c r="L14" s="12"/>
      <c r="M14" s="12"/>
      <c r="N14" s="12"/>
      <c r="O14" s="12"/>
    </row>
    <row r="15" spans="1:15" x14ac:dyDescent="0.35">
      <c r="A15" s="11" t="s">
        <v>401</v>
      </c>
      <c r="B15" s="13">
        <v>1599</v>
      </c>
      <c r="C15" s="13">
        <v>1995</v>
      </c>
      <c r="D15" s="13">
        <v>2069</v>
      </c>
      <c r="E15" s="13">
        <v>1890</v>
      </c>
      <c r="F15" s="13">
        <v>1696</v>
      </c>
      <c r="G15" s="13">
        <v>1607</v>
      </c>
      <c r="H15" s="13">
        <v>1514</v>
      </c>
      <c r="I15" s="13" t="s">
        <v>381</v>
      </c>
      <c r="J15" s="13">
        <v>1229</v>
      </c>
      <c r="K15" s="13"/>
      <c r="L15" s="13"/>
      <c r="M15" s="13"/>
      <c r="N15" s="13"/>
      <c r="O15" s="13"/>
    </row>
    <row r="16" spans="1:15" x14ac:dyDescent="0.35">
      <c r="A16" s="11" t="s">
        <v>402</v>
      </c>
      <c r="B16" s="13">
        <v>2833</v>
      </c>
      <c r="C16" s="13">
        <v>1995</v>
      </c>
      <c r="D16" s="13">
        <v>2069</v>
      </c>
      <c r="E16" s="13">
        <v>1890</v>
      </c>
      <c r="F16" s="13">
        <v>1696</v>
      </c>
      <c r="G16" s="13">
        <v>1607</v>
      </c>
      <c r="H16" s="13">
        <v>1514</v>
      </c>
      <c r="I16" s="13" t="s">
        <v>381</v>
      </c>
      <c r="J16" s="13">
        <v>1229</v>
      </c>
      <c r="K16" s="13"/>
      <c r="L16" s="13"/>
      <c r="M16" s="13"/>
      <c r="N16" s="13"/>
      <c r="O16" s="13"/>
    </row>
    <row r="17" spans="1:15" x14ac:dyDescent="0.35">
      <c r="A17" s="11" t="s">
        <v>403</v>
      </c>
      <c r="B17" s="13">
        <v>2833</v>
      </c>
      <c r="C17" s="13">
        <v>1995</v>
      </c>
      <c r="D17" s="13">
        <v>2069</v>
      </c>
      <c r="E17" s="13">
        <v>1890</v>
      </c>
      <c r="F17" s="13">
        <v>1696</v>
      </c>
      <c r="G17" s="13">
        <v>1607</v>
      </c>
      <c r="H17" s="13">
        <v>1514</v>
      </c>
      <c r="I17" s="13" t="s">
        <v>381</v>
      </c>
      <c r="J17" s="13">
        <v>1229</v>
      </c>
      <c r="K17" s="13"/>
      <c r="L17" s="13"/>
      <c r="M17" s="13"/>
      <c r="N17" s="13"/>
      <c r="O17" s="13"/>
    </row>
    <row r="18" spans="1:15" x14ac:dyDescent="0.35">
      <c r="A18" s="11"/>
      <c r="B18" s="13"/>
      <c r="C18" s="13"/>
      <c r="D18" s="13"/>
      <c r="E18" s="13"/>
      <c r="F18" s="13"/>
      <c r="G18" s="13"/>
      <c r="H18" s="13"/>
      <c r="I18" s="13"/>
      <c r="J18" s="13"/>
      <c r="K18" s="13"/>
      <c r="L18" s="13"/>
      <c r="M18" s="13"/>
      <c r="N18" s="13"/>
      <c r="O18" s="13"/>
    </row>
    <row r="19" spans="1:15" x14ac:dyDescent="0.35">
      <c r="A19" s="11"/>
      <c r="B19" s="13"/>
      <c r="C19" s="13"/>
      <c r="D19" s="13"/>
      <c r="E19" s="13"/>
      <c r="F19" s="13"/>
      <c r="G19" s="13"/>
      <c r="H19" s="13"/>
      <c r="I19" s="13"/>
      <c r="J19" s="13"/>
      <c r="K19" s="13"/>
      <c r="L19" s="13"/>
      <c r="M19" s="13"/>
      <c r="N19" s="13"/>
      <c r="O19" s="13"/>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26</v>
      </c>
      <c r="B5" s="9"/>
      <c r="C5" s="9"/>
      <c r="D5" s="9"/>
      <c r="E5" s="9"/>
      <c r="F5" s="9"/>
      <c r="G5" s="9"/>
      <c r="H5" s="9"/>
      <c r="I5" s="9"/>
      <c r="J5" s="9"/>
      <c r="K5" s="9"/>
      <c r="L5" s="9"/>
      <c r="M5" s="9"/>
      <c r="N5" s="9"/>
      <c r="O5" s="9"/>
    </row>
    <row r="6" spans="1:15" x14ac:dyDescent="0.35">
      <c r="A6" s="11" t="s">
        <v>405</v>
      </c>
      <c r="B6" s="9" t="s">
        <v>400</v>
      </c>
      <c r="C6" s="9" t="s">
        <v>401</v>
      </c>
      <c r="D6" s="9" t="s">
        <v>402</v>
      </c>
      <c r="E6" s="9" t="s">
        <v>403</v>
      </c>
      <c r="F6" s="9" t="s">
        <v>406</v>
      </c>
      <c r="G6" s="9"/>
      <c r="H6" s="9"/>
      <c r="I6" s="9"/>
      <c r="J6" s="9"/>
      <c r="K6" s="9"/>
      <c r="L6" s="9"/>
      <c r="M6" s="9"/>
      <c r="N6" s="9"/>
      <c r="O6" s="9"/>
    </row>
    <row r="7" spans="1:15" x14ac:dyDescent="0.35">
      <c r="A7" s="8" t="s">
        <v>407</v>
      </c>
      <c r="B7" s="12">
        <v>900</v>
      </c>
      <c r="C7" s="12">
        <v>21500</v>
      </c>
      <c r="D7" s="12">
        <v>0</v>
      </c>
      <c r="E7" s="12">
        <v>25000</v>
      </c>
      <c r="F7" s="12">
        <v>89300</v>
      </c>
      <c r="G7" s="12"/>
      <c r="H7" s="12"/>
      <c r="I7" s="12"/>
      <c r="J7" s="12"/>
      <c r="K7" s="12"/>
      <c r="L7" s="12"/>
      <c r="M7" s="12"/>
      <c r="N7" s="12"/>
      <c r="O7" s="12"/>
    </row>
    <row r="8" spans="1:15" x14ac:dyDescent="0.35">
      <c r="A8" s="11" t="s">
        <v>408</v>
      </c>
      <c r="B8" s="13">
        <v>14300</v>
      </c>
      <c r="C8" s="13">
        <v>40000</v>
      </c>
      <c r="D8" s="13">
        <v>55000</v>
      </c>
      <c r="E8" s="13">
        <v>47000</v>
      </c>
      <c r="F8" s="13">
        <v>196000</v>
      </c>
      <c r="G8" s="13"/>
      <c r="H8" s="13"/>
      <c r="I8" s="13"/>
      <c r="J8" s="13"/>
      <c r="K8" s="13"/>
      <c r="L8" s="13"/>
      <c r="M8" s="13"/>
      <c r="N8" s="13"/>
      <c r="O8" s="13"/>
    </row>
    <row r="9" spans="1:15" x14ac:dyDescent="0.35">
      <c r="A9" s="11" t="s">
        <v>409</v>
      </c>
      <c r="B9" s="13">
        <v>11500</v>
      </c>
      <c r="C9" s="13">
        <v>43700</v>
      </c>
      <c r="D9" s="13">
        <v>80000</v>
      </c>
      <c r="E9" s="13">
        <v>93400</v>
      </c>
      <c r="F9" s="13">
        <v>270200</v>
      </c>
      <c r="G9" s="13"/>
      <c r="H9" s="13"/>
      <c r="I9" s="13"/>
      <c r="J9" s="13"/>
      <c r="K9" s="13"/>
      <c r="L9" s="13"/>
      <c r="M9" s="13"/>
      <c r="N9" s="13"/>
      <c r="O9" s="13"/>
    </row>
    <row r="10" spans="1:15" x14ac:dyDescent="0.35">
      <c r="A10" s="11" t="s">
        <v>410</v>
      </c>
      <c r="B10" s="13">
        <v>15600</v>
      </c>
      <c r="C10" s="13">
        <v>43100</v>
      </c>
      <c r="D10" s="13">
        <v>119000</v>
      </c>
      <c r="E10" s="13">
        <v>166000</v>
      </c>
      <c r="F10" s="13">
        <v>466900</v>
      </c>
      <c r="G10" s="13"/>
      <c r="H10" s="13"/>
      <c r="I10" s="13"/>
      <c r="J10" s="13"/>
      <c r="K10" s="13"/>
      <c r="L10" s="13"/>
      <c r="M10" s="13"/>
      <c r="N10" s="13"/>
      <c r="O10" s="13"/>
    </row>
    <row r="11" spans="1:15" x14ac:dyDescent="0.35">
      <c r="A11" s="11" t="s">
        <v>411</v>
      </c>
      <c r="B11" s="13">
        <v>21000</v>
      </c>
      <c r="C11" s="13">
        <v>45000</v>
      </c>
      <c r="D11" s="13">
        <v>105000</v>
      </c>
      <c r="E11" s="13">
        <v>141800</v>
      </c>
      <c r="F11" s="13">
        <v>352800</v>
      </c>
      <c r="G11" s="13"/>
      <c r="H11" s="13"/>
      <c r="I11" s="13"/>
      <c r="J11" s="13"/>
      <c r="K11" s="13"/>
      <c r="L11" s="13"/>
      <c r="M11" s="13"/>
      <c r="N11" s="13"/>
      <c r="O11" s="13"/>
    </row>
    <row r="12" spans="1:15" x14ac:dyDescent="0.35">
      <c r="A12" s="11" t="s">
        <v>412</v>
      </c>
      <c r="B12" s="13">
        <v>20000</v>
      </c>
      <c r="C12" s="13">
        <v>39500</v>
      </c>
      <c r="D12" s="13">
        <v>120000</v>
      </c>
      <c r="E12" s="13">
        <v>34400</v>
      </c>
      <c r="F12" s="13">
        <v>241700</v>
      </c>
      <c r="G12" s="13"/>
      <c r="H12" s="13"/>
      <c r="I12" s="13"/>
      <c r="J12" s="13"/>
      <c r="K12" s="13"/>
      <c r="L12" s="13"/>
      <c r="M12" s="13"/>
      <c r="N12" s="13"/>
      <c r="O12" s="13"/>
    </row>
    <row r="13" spans="1:15" ht="30" customHeight="1" x14ac:dyDescent="0.4">
      <c r="A13" s="5" t="s">
        <v>25</v>
      </c>
      <c r="B13" s="13"/>
      <c r="C13" s="13"/>
      <c r="D13" s="13"/>
      <c r="E13" s="13"/>
      <c r="F13" s="13"/>
      <c r="G13" s="13"/>
      <c r="H13" s="13"/>
      <c r="I13" s="13"/>
      <c r="J13" s="13"/>
      <c r="K13" s="13"/>
      <c r="L13" s="13"/>
      <c r="M13" s="13"/>
      <c r="N13" s="13"/>
      <c r="O13" s="13"/>
    </row>
    <row r="14" spans="1:15" x14ac:dyDescent="0.35">
      <c r="A14" s="11" t="s">
        <v>405</v>
      </c>
      <c r="B14" s="13" t="s">
        <v>400</v>
      </c>
      <c r="C14" s="13" t="s">
        <v>401</v>
      </c>
      <c r="D14" s="13" t="s">
        <v>402</v>
      </c>
      <c r="E14" s="13" t="s">
        <v>403</v>
      </c>
      <c r="F14" s="13" t="s">
        <v>406</v>
      </c>
      <c r="G14" s="13"/>
      <c r="H14" s="13"/>
      <c r="I14" s="13"/>
      <c r="J14" s="13"/>
      <c r="K14" s="13"/>
      <c r="L14" s="13"/>
      <c r="M14" s="13"/>
      <c r="N14" s="13"/>
      <c r="O14" s="13"/>
    </row>
    <row r="15" spans="1:15" x14ac:dyDescent="0.35">
      <c r="A15" s="8" t="s">
        <v>407</v>
      </c>
      <c r="B15" s="12">
        <v>80</v>
      </c>
      <c r="C15" s="12">
        <v>80</v>
      </c>
      <c r="D15" s="12">
        <v>80</v>
      </c>
      <c r="E15" s="12">
        <v>80</v>
      </c>
      <c r="F15" s="12">
        <v>80</v>
      </c>
      <c r="G15" s="12"/>
      <c r="H15" s="12"/>
      <c r="I15" s="12"/>
      <c r="J15" s="12"/>
      <c r="K15" s="12"/>
      <c r="L15" s="12"/>
      <c r="M15" s="12"/>
      <c r="N15" s="12"/>
      <c r="O15" s="12"/>
    </row>
    <row r="16" spans="1:15" x14ac:dyDescent="0.35">
      <c r="A16" s="11" t="s">
        <v>408</v>
      </c>
      <c r="B16" s="13">
        <v>107</v>
      </c>
      <c r="C16" s="13">
        <v>107</v>
      </c>
      <c r="D16" s="13">
        <v>107</v>
      </c>
      <c r="E16" s="13">
        <v>107</v>
      </c>
      <c r="F16" s="13">
        <v>107</v>
      </c>
      <c r="G16" s="13"/>
      <c r="H16" s="13"/>
      <c r="I16" s="13"/>
      <c r="J16" s="13"/>
      <c r="K16" s="13"/>
      <c r="L16" s="13"/>
      <c r="M16" s="13"/>
      <c r="N16" s="13"/>
      <c r="O16" s="13"/>
    </row>
    <row r="17" spans="1:15" x14ac:dyDescent="0.35">
      <c r="A17" s="11" t="s">
        <v>409</v>
      </c>
      <c r="B17" s="13">
        <v>191</v>
      </c>
      <c r="C17" s="13">
        <v>191</v>
      </c>
      <c r="D17" s="13">
        <v>191</v>
      </c>
      <c r="E17" s="13">
        <v>191</v>
      </c>
      <c r="F17" s="13">
        <v>191</v>
      </c>
      <c r="G17" s="13"/>
      <c r="H17" s="13"/>
      <c r="I17" s="13"/>
      <c r="J17" s="13"/>
      <c r="K17" s="13"/>
      <c r="L17" s="13"/>
      <c r="M17" s="13"/>
      <c r="N17" s="13"/>
      <c r="O17" s="13"/>
    </row>
    <row r="18" spans="1:15" x14ac:dyDescent="0.35">
      <c r="A18" s="11" t="s">
        <v>410</v>
      </c>
      <c r="B18" s="13">
        <v>283</v>
      </c>
      <c r="C18" s="13">
        <v>283</v>
      </c>
      <c r="D18" s="13">
        <v>283</v>
      </c>
      <c r="E18" s="13">
        <v>283</v>
      </c>
      <c r="F18" s="13">
        <v>283</v>
      </c>
      <c r="G18" s="13"/>
      <c r="H18" s="13"/>
      <c r="I18" s="13"/>
      <c r="J18" s="13"/>
      <c r="K18" s="13"/>
      <c r="L18" s="13"/>
      <c r="M18" s="13"/>
      <c r="N18" s="13"/>
      <c r="O18" s="13"/>
    </row>
    <row r="19" spans="1:15" x14ac:dyDescent="0.35">
      <c r="A19" s="11" t="s">
        <v>411</v>
      </c>
      <c r="B19" s="13">
        <v>316</v>
      </c>
      <c r="C19" s="13">
        <v>316</v>
      </c>
      <c r="D19" s="13">
        <v>316</v>
      </c>
      <c r="E19" s="13">
        <v>316</v>
      </c>
      <c r="F19" s="13">
        <v>316</v>
      </c>
      <c r="G19" s="13"/>
      <c r="H19" s="13"/>
      <c r="I19" s="13"/>
      <c r="J19" s="13"/>
      <c r="K19" s="13"/>
      <c r="L19" s="13"/>
      <c r="M19" s="13"/>
      <c r="N19" s="13"/>
      <c r="O19" s="13"/>
    </row>
    <row r="20" spans="1:15" x14ac:dyDescent="0.35">
      <c r="A20" s="11" t="s">
        <v>412</v>
      </c>
      <c r="B20" s="13">
        <v>252</v>
      </c>
      <c r="C20" s="13">
        <v>252</v>
      </c>
      <c r="D20" s="13">
        <v>252</v>
      </c>
      <c r="E20" s="13">
        <v>252</v>
      </c>
      <c r="F20" s="13">
        <v>252</v>
      </c>
      <c r="G20" s="13"/>
      <c r="H20" s="13"/>
      <c r="I20" s="13"/>
      <c r="J20" s="13"/>
      <c r="K20" s="13"/>
      <c r="L20" s="13"/>
      <c r="M20" s="13"/>
      <c r="N20" s="13"/>
      <c r="O20" s="13"/>
    </row>
    <row r="21" spans="1:15" x14ac:dyDescent="0.35">
      <c r="A21" s="11"/>
      <c r="B21" s="13"/>
      <c r="C21" s="13"/>
      <c r="D21" s="13"/>
      <c r="E21" s="13"/>
      <c r="F21" s="13"/>
      <c r="G21" s="13"/>
      <c r="H21" s="13"/>
      <c r="I21" s="13"/>
      <c r="J21" s="13"/>
      <c r="K21" s="13"/>
      <c r="L21" s="13"/>
      <c r="M21" s="13"/>
      <c r="N21" s="13"/>
      <c r="O21" s="13"/>
    </row>
    <row r="22" spans="1:15" x14ac:dyDescent="0.35">
      <c r="A22" s="11"/>
      <c r="B22" s="13"/>
      <c r="C22" s="13"/>
      <c r="D22" s="13"/>
      <c r="E22" s="13"/>
      <c r="F22" s="13"/>
      <c r="G22" s="13"/>
      <c r="H22" s="13"/>
      <c r="I22" s="13"/>
      <c r="J22" s="13"/>
      <c r="K22" s="13"/>
      <c r="L22" s="13"/>
      <c r="M22" s="13"/>
      <c r="N22" s="13"/>
      <c r="O22" s="13"/>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383</v>
      </c>
      <c r="B4" s="9"/>
      <c r="C4" s="9"/>
      <c r="D4" s="9"/>
      <c r="E4" s="9"/>
      <c r="F4" s="9"/>
      <c r="G4" s="9"/>
      <c r="H4" s="9"/>
      <c r="I4" s="9"/>
      <c r="J4" s="9"/>
      <c r="K4" s="9"/>
      <c r="L4" s="9"/>
      <c r="M4" s="9"/>
      <c r="N4" s="9"/>
      <c r="O4" s="9"/>
    </row>
    <row r="5" spans="1:15" ht="30" customHeight="1" x14ac:dyDescent="0.4">
      <c r="A5" s="5" t="s">
        <v>29</v>
      </c>
      <c r="B5" s="9"/>
      <c r="C5" s="9"/>
      <c r="D5" s="9"/>
      <c r="E5" s="9"/>
      <c r="F5" s="9"/>
      <c r="G5" s="9"/>
      <c r="H5" s="9"/>
      <c r="I5" s="9"/>
      <c r="J5" s="9"/>
      <c r="K5" s="9"/>
      <c r="L5" s="9"/>
      <c r="M5" s="9"/>
      <c r="N5" s="9"/>
      <c r="O5" s="9"/>
    </row>
    <row r="6" spans="1:15" x14ac:dyDescent="0.35">
      <c r="A6" s="11" t="s">
        <v>413</v>
      </c>
      <c r="B6" s="9" t="s">
        <v>414</v>
      </c>
      <c r="C6" s="9" t="s">
        <v>415</v>
      </c>
      <c r="D6" s="9"/>
      <c r="E6" s="9"/>
      <c r="F6" s="9"/>
      <c r="G6" s="9"/>
      <c r="H6" s="9"/>
      <c r="I6" s="9"/>
      <c r="J6" s="9"/>
      <c r="K6" s="9"/>
      <c r="L6" s="9"/>
      <c r="M6" s="9"/>
      <c r="N6" s="9"/>
      <c r="O6" s="9"/>
    </row>
    <row r="7" spans="1:15" x14ac:dyDescent="0.35">
      <c r="A7" s="8" t="s">
        <v>416</v>
      </c>
      <c r="B7" s="15">
        <v>1E-3</v>
      </c>
      <c r="C7" s="15">
        <v>0</v>
      </c>
      <c r="D7" s="15"/>
      <c r="E7" s="15"/>
      <c r="F7" s="15"/>
      <c r="G7" s="15"/>
      <c r="H7" s="15"/>
      <c r="I7" s="15"/>
      <c r="J7" s="15"/>
      <c r="K7" s="15"/>
      <c r="L7" s="15"/>
      <c r="M7" s="15"/>
      <c r="N7" s="15"/>
      <c r="O7" s="15"/>
    </row>
    <row r="8" spans="1:15" x14ac:dyDescent="0.35">
      <c r="A8" s="11" t="s">
        <v>417</v>
      </c>
      <c r="B8" s="16">
        <v>4.0000000000000001E-3</v>
      </c>
      <c r="C8" s="16">
        <v>0</v>
      </c>
      <c r="D8" s="16"/>
      <c r="E8" s="16"/>
      <c r="F8" s="16"/>
      <c r="G8" s="16"/>
      <c r="H8" s="16"/>
      <c r="I8" s="16"/>
      <c r="J8" s="16"/>
      <c r="K8" s="16"/>
      <c r="L8" s="16"/>
      <c r="M8" s="16"/>
      <c r="N8" s="16"/>
      <c r="O8" s="16"/>
    </row>
    <row r="9" spans="1:15" x14ac:dyDescent="0.35">
      <c r="A9" s="11" t="s">
        <v>418</v>
      </c>
      <c r="B9" s="16">
        <v>6.0000000000000001E-3</v>
      </c>
      <c r="C9" s="16">
        <v>0</v>
      </c>
      <c r="D9" s="16"/>
      <c r="E9" s="16"/>
      <c r="F9" s="16"/>
      <c r="G9" s="16"/>
      <c r="H9" s="16"/>
      <c r="I9" s="16"/>
      <c r="J9" s="16"/>
      <c r="K9" s="16"/>
      <c r="L9" s="16"/>
      <c r="M9" s="16"/>
      <c r="N9" s="16"/>
      <c r="O9" s="16"/>
    </row>
    <row r="10" spans="1:15" x14ac:dyDescent="0.35">
      <c r="A10" s="11" t="s">
        <v>419</v>
      </c>
      <c r="B10" s="16">
        <v>7.0000000000000001E-3</v>
      </c>
      <c r="C10" s="16">
        <v>1E-3</v>
      </c>
      <c r="D10" s="16"/>
      <c r="E10" s="16"/>
      <c r="F10" s="16"/>
      <c r="G10" s="16"/>
      <c r="H10" s="16"/>
      <c r="I10" s="16"/>
      <c r="J10" s="16"/>
      <c r="K10" s="16"/>
      <c r="L10" s="16"/>
      <c r="M10" s="16"/>
      <c r="N10" s="16"/>
      <c r="O10" s="16"/>
    </row>
    <row r="11" spans="1:15" x14ac:dyDescent="0.35">
      <c r="A11" s="11" t="s">
        <v>420</v>
      </c>
      <c r="B11" s="16">
        <v>8.0000000000000002E-3</v>
      </c>
      <c r="C11" s="16">
        <v>1E-3</v>
      </c>
      <c r="D11" s="16"/>
      <c r="E11" s="16"/>
      <c r="F11" s="16"/>
      <c r="G11" s="16"/>
      <c r="H11" s="16"/>
      <c r="I11" s="16"/>
      <c r="J11" s="16"/>
      <c r="K11" s="16"/>
      <c r="L11" s="16"/>
      <c r="M11" s="16"/>
      <c r="N11" s="16"/>
      <c r="O11" s="16"/>
    </row>
    <row r="12" spans="1:15" x14ac:dyDescent="0.35">
      <c r="A12" s="11" t="s">
        <v>421</v>
      </c>
      <c r="B12" s="16">
        <v>8.9999999999999993E-3</v>
      </c>
      <c r="C12" s="16">
        <v>1E-3</v>
      </c>
      <c r="D12" s="16"/>
      <c r="E12" s="16"/>
      <c r="F12" s="16"/>
      <c r="G12" s="16"/>
      <c r="H12" s="16"/>
      <c r="I12" s="16"/>
      <c r="J12" s="16"/>
      <c r="K12" s="16"/>
      <c r="L12" s="16"/>
      <c r="M12" s="16"/>
      <c r="N12" s="16"/>
      <c r="O12" s="16"/>
    </row>
    <row r="13" spans="1:15" x14ac:dyDescent="0.35">
      <c r="A13" s="11" t="s">
        <v>422</v>
      </c>
      <c r="B13" s="16">
        <v>8.9999999999999993E-3</v>
      </c>
      <c r="C13" s="16">
        <v>1E-3</v>
      </c>
      <c r="D13" s="16"/>
      <c r="E13" s="16"/>
      <c r="F13" s="16"/>
      <c r="G13" s="16"/>
      <c r="H13" s="16"/>
      <c r="I13" s="16"/>
      <c r="J13" s="16"/>
      <c r="K13" s="16"/>
      <c r="L13" s="16"/>
      <c r="M13" s="16"/>
      <c r="N13" s="16"/>
      <c r="O13" s="16"/>
    </row>
    <row r="14" spans="1:15" x14ac:dyDescent="0.35">
      <c r="A14" s="11" t="s">
        <v>423</v>
      </c>
      <c r="B14" s="16">
        <v>0.01</v>
      </c>
      <c r="C14" s="16">
        <v>1E-3</v>
      </c>
      <c r="D14" s="16"/>
      <c r="E14" s="16"/>
      <c r="F14" s="16"/>
      <c r="G14" s="16"/>
      <c r="H14" s="16"/>
      <c r="I14" s="16"/>
      <c r="J14" s="16"/>
      <c r="K14" s="16"/>
      <c r="L14" s="16"/>
      <c r="M14" s="16"/>
      <c r="N14" s="16"/>
      <c r="O14" s="16"/>
    </row>
    <row r="15" spans="1:15" x14ac:dyDescent="0.35">
      <c r="A15" s="11" t="s">
        <v>424</v>
      </c>
      <c r="B15" s="16">
        <v>0.01</v>
      </c>
      <c r="C15" s="16">
        <v>2E-3</v>
      </c>
      <c r="D15" s="16"/>
      <c r="E15" s="16"/>
      <c r="F15" s="16"/>
      <c r="G15" s="16"/>
      <c r="H15" s="16"/>
      <c r="I15" s="16"/>
      <c r="J15" s="16"/>
      <c r="K15" s="16"/>
      <c r="L15" s="16"/>
      <c r="M15" s="16"/>
      <c r="N15" s="16"/>
      <c r="O15" s="16"/>
    </row>
    <row r="16" spans="1:15" x14ac:dyDescent="0.35">
      <c r="A16" s="11" t="s">
        <v>425</v>
      </c>
      <c r="B16" s="16">
        <v>0.01</v>
      </c>
      <c r="C16" s="16">
        <v>1E-3</v>
      </c>
      <c r="D16" s="16"/>
      <c r="E16" s="16"/>
      <c r="F16" s="16"/>
      <c r="G16" s="16"/>
      <c r="H16" s="16"/>
      <c r="I16" s="16"/>
      <c r="J16" s="16"/>
      <c r="K16" s="16"/>
      <c r="L16" s="16"/>
      <c r="M16" s="16"/>
      <c r="N16" s="16"/>
      <c r="O16" s="16"/>
    </row>
    <row r="17" spans="1:15" x14ac:dyDescent="0.35">
      <c r="A17" s="11" t="s">
        <v>426</v>
      </c>
      <c r="B17" s="16">
        <v>1.0999999999999999E-2</v>
      </c>
      <c r="C17" s="16">
        <v>2E-3</v>
      </c>
      <c r="D17" s="16"/>
      <c r="E17" s="16"/>
      <c r="F17" s="16"/>
      <c r="G17" s="16"/>
      <c r="H17" s="16"/>
      <c r="I17" s="16"/>
      <c r="J17" s="16"/>
      <c r="K17" s="16"/>
      <c r="L17" s="16"/>
      <c r="M17" s="16"/>
      <c r="N17" s="16"/>
      <c r="O17" s="16"/>
    </row>
    <row r="18" spans="1:15" x14ac:dyDescent="0.35">
      <c r="A18" s="11" t="s">
        <v>427</v>
      </c>
      <c r="B18" s="16">
        <v>1.0999999999999999E-2</v>
      </c>
      <c r="C18" s="16">
        <v>3.0000000000000001E-3</v>
      </c>
      <c r="D18" s="16"/>
      <c r="E18" s="16"/>
      <c r="F18" s="16"/>
      <c r="G18" s="16"/>
      <c r="H18" s="16"/>
      <c r="I18" s="16"/>
      <c r="J18" s="16"/>
      <c r="K18" s="16"/>
      <c r="L18" s="16"/>
      <c r="M18" s="16"/>
      <c r="N18" s="16"/>
      <c r="O18" s="16"/>
    </row>
    <row r="19" spans="1:15" x14ac:dyDescent="0.35">
      <c r="A19" s="11" t="s">
        <v>428</v>
      </c>
      <c r="B19" s="16">
        <v>1.2E-2</v>
      </c>
      <c r="C19" s="16">
        <v>3.0000000000000001E-3</v>
      </c>
      <c r="D19" s="16"/>
      <c r="E19" s="16"/>
      <c r="F19" s="16"/>
      <c r="G19" s="16"/>
      <c r="H19" s="16"/>
      <c r="I19" s="16"/>
      <c r="J19" s="16"/>
      <c r="K19" s="16"/>
      <c r="L19" s="16"/>
      <c r="M19" s="16"/>
      <c r="N19" s="16"/>
      <c r="O19" s="16"/>
    </row>
    <row r="20" spans="1:15" x14ac:dyDescent="0.35">
      <c r="A20" s="11" t="s">
        <v>429</v>
      </c>
      <c r="B20" s="16">
        <v>1.2999999999999999E-2</v>
      </c>
      <c r="C20" s="16">
        <v>4.0000000000000001E-3</v>
      </c>
      <c r="D20" s="16"/>
      <c r="E20" s="16"/>
      <c r="F20" s="16"/>
      <c r="G20" s="16"/>
      <c r="H20" s="16"/>
      <c r="I20" s="16"/>
      <c r="J20" s="16"/>
      <c r="K20" s="16"/>
      <c r="L20" s="16"/>
      <c r="M20" s="16"/>
      <c r="N20" s="16"/>
      <c r="O20" s="16"/>
    </row>
    <row r="21" spans="1:15" x14ac:dyDescent="0.35">
      <c r="A21" s="11" t="s">
        <v>430</v>
      </c>
      <c r="B21" s="16">
        <v>1.2E-2</v>
      </c>
      <c r="C21" s="16">
        <v>4.0000000000000001E-3</v>
      </c>
      <c r="D21" s="16"/>
      <c r="E21" s="16"/>
      <c r="F21" s="16"/>
      <c r="G21" s="16"/>
      <c r="H21" s="16"/>
      <c r="I21" s="16"/>
      <c r="J21" s="16"/>
      <c r="K21" s="16"/>
      <c r="L21" s="16"/>
      <c r="M21" s="16"/>
      <c r="N21" s="16"/>
      <c r="O21" s="16"/>
    </row>
    <row r="22" spans="1:15" x14ac:dyDescent="0.35">
      <c r="A22" s="11" t="s">
        <v>431</v>
      </c>
      <c r="B22" s="16">
        <v>1.4E-2</v>
      </c>
      <c r="C22" s="16">
        <v>3.0000000000000001E-3</v>
      </c>
      <c r="D22" s="16"/>
      <c r="E22" s="16"/>
      <c r="F22" s="16"/>
      <c r="G22" s="16"/>
      <c r="H22" s="16"/>
      <c r="I22" s="16"/>
      <c r="J22" s="16"/>
      <c r="K22" s="16"/>
      <c r="L22" s="16"/>
      <c r="M22" s="16"/>
      <c r="N22" s="16"/>
      <c r="O22" s="16"/>
    </row>
    <row r="23" spans="1:15" x14ac:dyDescent="0.35">
      <c r="A23" s="11" t="s">
        <v>432</v>
      </c>
      <c r="B23" s="16">
        <v>1.4E-2</v>
      </c>
      <c r="C23" s="16">
        <v>5.0000000000000001E-3</v>
      </c>
      <c r="D23" s="16"/>
      <c r="E23" s="16"/>
      <c r="F23" s="16"/>
      <c r="G23" s="16"/>
      <c r="H23" s="16"/>
      <c r="I23" s="16"/>
      <c r="J23" s="16"/>
      <c r="K23" s="16"/>
      <c r="L23" s="16"/>
      <c r="M23" s="16"/>
      <c r="N23" s="16"/>
      <c r="O23" s="16"/>
    </row>
    <row r="24" spans="1:15" x14ac:dyDescent="0.35">
      <c r="A24" s="11" t="s">
        <v>433</v>
      </c>
      <c r="B24" s="16">
        <v>1.4E-2</v>
      </c>
      <c r="C24" s="16">
        <v>6.0000000000000001E-3</v>
      </c>
      <c r="D24" s="16"/>
      <c r="E24" s="16"/>
      <c r="F24" s="16"/>
      <c r="G24" s="16"/>
      <c r="H24" s="16"/>
      <c r="I24" s="16"/>
      <c r="J24" s="16"/>
      <c r="K24" s="16"/>
      <c r="L24" s="16"/>
      <c r="M24" s="16"/>
      <c r="N24" s="16"/>
      <c r="O24" s="16"/>
    </row>
    <row r="25" spans="1:15" x14ac:dyDescent="0.35">
      <c r="A25" s="11" t="s">
        <v>434</v>
      </c>
      <c r="B25" s="16">
        <v>1.4E-2</v>
      </c>
      <c r="C25" s="16">
        <v>6.0000000000000001E-3</v>
      </c>
      <c r="D25" s="16"/>
      <c r="E25" s="16"/>
      <c r="F25" s="16"/>
      <c r="G25" s="16"/>
      <c r="H25" s="16"/>
      <c r="I25" s="16"/>
      <c r="J25" s="16"/>
      <c r="K25" s="16"/>
      <c r="L25" s="16"/>
      <c r="M25" s="16"/>
      <c r="N25" s="16"/>
      <c r="O25" s="16"/>
    </row>
    <row r="26" spans="1:15" x14ac:dyDescent="0.35">
      <c r="A26" s="11" t="s">
        <v>435</v>
      </c>
      <c r="B26" s="16">
        <v>1.4999999999999999E-2</v>
      </c>
      <c r="C26" s="16">
        <v>8.0000000000000002E-3</v>
      </c>
      <c r="D26" s="16"/>
      <c r="E26" s="16"/>
      <c r="F26" s="16"/>
      <c r="G26" s="16"/>
      <c r="H26" s="16"/>
      <c r="I26" s="16"/>
      <c r="J26" s="16"/>
      <c r="K26" s="16"/>
      <c r="L26" s="16"/>
      <c r="M26" s="16"/>
      <c r="N26" s="16"/>
      <c r="O26" s="16"/>
    </row>
    <row r="27" spans="1:15" x14ac:dyDescent="0.35">
      <c r="A27" s="11" t="s">
        <v>436</v>
      </c>
      <c r="B27" s="16">
        <v>1.6E-2</v>
      </c>
      <c r="C27" s="16">
        <v>8.9999999999999993E-3</v>
      </c>
      <c r="D27" s="16"/>
      <c r="E27" s="16"/>
      <c r="F27" s="16"/>
      <c r="G27" s="16"/>
      <c r="H27" s="16"/>
      <c r="I27" s="16"/>
      <c r="J27" s="16"/>
      <c r="K27" s="16"/>
      <c r="L27" s="16"/>
      <c r="M27" s="16"/>
      <c r="N27" s="16"/>
      <c r="O27" s="16"/>
    </row>
    <row r="28" spans="1:15" x14ac:dyDescent="0.35">
      <c r="A28" s="11" t="s">
        <v>437</v>
      </c>
      <c r="B28" s="16">
        <v>1.4999999999999999E-2</v>
      </c>
      <c r="C28" s="16">
        <v>8.0000000000000002E-3</v>
      </c>
      <c r="D28" s="16"/>
      <c r="E28" s="16"/>
      <c r="F28" s="16"/>
      <c r="G28" s="16"/>
      <c r="H28" s="16"/>
      <c r="I28" s="16"/>
      <c r="J28" s="16"/>
      <c r="K28" s="16"/>
      <c r="L28" s="16"/>
      <c r="M28" s="16"/>
      <c r="N28" s="16"/>
      <c r="O28" s="16"/>
    </row>
    <row r="29" spans="1:15" x14ac:dyDescent="0.35">
      <c r="A29" s="11" t="s">
        <v>438</v>
      </c>
      <c r="B29" s="16">
        <v>1.6E-2</v>
      </c>
      <c r="C29" s="16">
        <v>0.01</v>
      </c>
      <c r="D29" s="16"/>
      <c r="E29" s="16"/>
      <c r="F29" s="16"/>
      <c r="G29" s="16"/>
      <c r="H29" s="16"/>
      <c r="I29" s="16"/>
      <c r="J29" s="16"/>
      <c r="K29" s="16"/>
      <c r="L29" s="16"/>
      <c r="M29" s="16"/>
      <c r="N29" s="16"/>
      <c r="O29" s="16"/>
    </row>
    <row r="30" spans="1:15" x14ac:dyDescent="0.35">
      <c r="A30" s="11" t="s">
        <v>439</v>
      </c>
      <c r="B30" s="16">
        <v>1.6E-2</v>
      </c>
      <c r="C30" s="16">
        <v>1.0999999999999999E-2</v>
      </c>
      <c r="D30" s="16"/>
      <c r="E30" s="16"/>
      <c r="F30" s="16"/>
      <c r="G30" s="16"/>
      <c r="H30" s="16"/>
      <c r="I30" s="16"/>
      <c r="J30" s="16"/>
      <c r="K30" s="16"/>
      <c r="L30" s="16"/>
      <c r="M30" s="16"/>
      <c r="N30" s="16"/>
      <c r="O30" s="16"/>
    </row>
    <row r="31" spans="1:15" x14ac:dyDescent="0.35">
      <c r="A31" s="11" t="s">
        <v>440</v>
      </c>
      <c r="B31" s="16">
        <v>1.7000000000000001E-2</v>
      </c>
      <c r="C31" s="16">
        <v>1.0999999999999999E-2</v>
      </c>
      <c r="D31" s="16"/>
      <c r="E31" s="16"/>
      <c r="F31" s="16"/>
      <c r="G31" s="16"/>
      <c r="H31" s="16"/>
      <c r="I31" s="16"/>
      <c r="J31" s="16"/>
      <c r="K31" s="16"/>
      <c r="L31" s="16"/>
      <c r="M31" s="16"/>
      <c r="N31" s="16"/>
      <c r="O31" s="16"/>
    </row>
    <row r="32" spans="1:15" x14ac:dyDescent="0.35">
      <c r="A32" s="11" t="s">
        <v>441</v>
      </c>
      <c r="B32" s="16">
        <v>1.7999999999999999E-2</v>
      </c>
      <c r="C32" s="16">
        <v>1.2E-2</v>
      </c>
      <c r="D32" s="16"/>
      <c r="E32" s="16"/>
      <c r="F32" s="16"/>
      <c r="G32" s="16"/>
      <c r="H32" s="16"/>
      <c r="I32" s="16"/>
      <c r="J32" s="16"/>
      <c r="K32" s="16"/>
      <c r="L32" s="16"/>
      <c r="M32" s="16"/>
      <c r="N32" s="16"/>
      <c r="O32" s="16"/>
    </row>
    <row r="33" spans="1:15" x14ac:dyDescent="0.35">
      <c r="A33" s="11" t="s">
        <v>442</v>
      </c>
      <c r="B33" s="16">
        <v>1.7999999999999999E-2</v>
      </c>
      <c r="C33" s="16">
        <v>1.0999999999999999E-2</v>
      </c>
      <c r="D33" s="16"/>
      <c r="E33" s="16"/>
      <c r="F33" s="16"/>
      <c r="G33" s="16"/>
      <c r="H33" s="16"/>
      <c r="I33" s="16"/>
      <c r="J33" s="16"/>
      <c r="K33" s="16"/>
      <c r="L33" s="16"/>
      <c r="M33" s="16"/>
      <c r="N33" s="16"/>
      <c r="O33" s="16"/>
    </row>
    <row r="34" spans="1:15" x14ac:dyDescent="0.35">
      <c r="A34" s="11" t="s">
        <v>443</v>
      </c>
      <c r="B34" s="16">
        <v>1.7999999999999999E-2</v>
      </c>
      <c r="C34" s="16">
        <v>1.6E-2</v>
      </c>
      <c r="D34" s="16"/>
      <c r="E34" s="16"/>
      <c r="F34" s="16"/>
      <c r="G34" s="16"/>
      <c r="H34" s="16"/>
      <c r="I34" s="16"/>
      <c r="J34" s="16"/>
      <c r="K34" s="16"/>
      <c r="L34" s="16"/>
      <c r="M34" s="16"/>
      <c r="N34" s="16"/>
      <c r="O34" s="16"/>
    </row>
    <row r="35" spans="1:15" x14ac:dyDescent="0.35">
      <c r="A35" s="11" t="s">
        <v>444</v>
      </c>
      <c r="B35" s="16">
        <v>1.9E-2</v>
      </c>
      <c r="C35" s="16">
        <v>1.4999999999999999E-2</v>
      </c>
      <c r="D35" s="16"/>
      <c r="E35" s="16"/>
      <c r="F35" s="16"/>
      <c r="G35" s="16"/>
      <c r="H35" s="16"/>
      <c r="I35" s="16"/>
      <c r="J35" s="16"/>
      <c r="K35" s="16"/>
      <c r="L35" s="16"/>
      <c r="M35" s="16"/>
      <c r="N35" s="16"/>
      <c r="O35" s="16"/>
    </row>
    <row r="36" spans="1:15" x14ac:dyDescent="0.35">
      <c r="A36" s="11" t="s">
        <v>445</v>
      </c>
      <c r="B36" s="16">
        <v>1.9E-2</v>
      </c>
      <c r="C36" s="16">
        <v>1.7999999999999999E-2</v>
      </c>
      <c r="D36" s="16"/>
      <c r="E36" s="16"/>
      <c r="F36" s="16"/>
      <c r="G36" s="16"/>
      <c r="H36" s="16"/>
      <c r="I36" s="16"/>
      <c r="J36" s="16"/>
      <c r="K36" s="16"/>
      <c r="L36" s="16"/>
      <c r="M36" s="16"/>
      <c r="N36" s="16"/>
      <c r="O36" s="16"/>
    </row>
    <row r="37" spans="1:15" x14ac:dyDescent="0.35">
      <c r="A37" s="11" t="s">
        <v>446</v>
      </c>
      <c r="B37" s="16">
        <v>0.02</v>
      </c>
      <c r="C37" s="16">
        <v>1.6E-2</v>
      </c>
      <c r="D37" s="16"/>
      <c r="E37" s="16"/>
      <c r="F37" s="16"/>
      <c r="G37" s="16"/>
      <c r="H37" s="16"/>
      <c r="I37" s="16"/>
      <c r="J37" s="16"/>
      <c r="K37" s="16"/>
      <c r="L37" s="16"/>
      <c r="M37" s="16"/>
      <c r="N37" s="16"/>
      <c r="O37" s="16"/>
    </row>
    <row r="38" spans="1:15" x14ac:dyDescent="0.35">
      <c r="A38" s="11" t="s">
        <v>447</v>
      </c>
      <c r="B38" s="16">
        <v>2.1000000000000001E-2</v>
      </c>
      <c r="C38" s="16">
        <v>1.7000000000000001E-2</v>
      </c>
      <c r="D38" s="16"/>
      <c r="E38" s="16"/>
      <c r="F38" s="16"/>
      <c r="G38" s="16"/>
      <c r="H38" s="16"/>
      <c r="I38" s="16"/>
      <c r="J38" s="16"/>
      <c r="K38" s="16"/>
      <c r="L38" s="16"/>
      <c r="M38" s="16"/>
      <c r="N38" s="16"/>
      <c r="O38" s="16"/>
    </row>
    <row r="39" spans="1:15" x14ac:dyDescent="0.35">
      <c r="A39" s="11" t="s">
        <v>448</v>
      </c>
      <c r="B39" s="16">
        <v>2.3E-2</v>
      </c>
      <c r="C39" s="16">
        <v>2.3E-2</v>
      </c>
      <c r="D39" s="16"/>
      <c r="E39" s="16"/>
      <c r="F39" s="16"/>
      <c r="G39" s="16"/>
      <c r="H39" s="16"/>
      <c r="I39" s="16"/>
      <c r="J39" s="16"/>
      <c r="K39" s="16"/>
      <c r="L39" s="16"/>
      <c r="M39" s="16"/>
      <c r="N39" s="16"/>
      <c r="O39" s="16"/>
    </row>
    <row r="40" spans="1:15" x14ac:dyDescent="0.35">
      <c r="A40" s="11" t="s">
        <v>449</v>
      </c>
      <c r="B40" s="16">
        <v>0.02</v>
      </c>
      <c r="C40" s="16">
        <v>2.1999999999999999E-2</v>
      </c>
      <c r="D40" s="16"/>
      <c r="E40" s="16"/>
      <c r="F40" s="16"/>
      <c r="G40" s="16"/>
      <c r="H40" s="16"/>
      <c r="I40" s="16"/>
      <c r="J40" s="16"/>
      <c r="K40" s="16"/>
      <c r="L40" s="16"/>
      <c r="M40" s="16"/>
      <c r="N40" s="16"/>
      <c r="O40" s="16"/>
    </row>
    <row r="41" spans="1:15" x14ac:dyDescent="0.35">
      <c r="A41" s="11" t="s">
        <v>450</v>
      </c>
      <c r="B41" s="16">
        <v>2.1999999999999999E-2</v>
      </c>
      <c r="C41" s="16">
        <v>2.1999999999999999E-2</v>
      </c>
      <c r="D41" s="16"/>
      <c r="E41" s="16"/>
      <c r="F41" s="16"/>
      <c r="G41" s="16"/>
      <c r="H41" s="16"/>
      <c r="I41" s="16"/>
      <c r="J41" s="16"/>
      <c r="K41" s="16"/>
      <c r="L41" s="16"/>
      <c r="M41" s="16"/>
      <c r="N41" s="16"/>
      <c r="O41" s="16"/>
    </row>
    <row r="42" spans="1:15" x14ac:dyDescent="0.35">
      <c r="A42" s="11" t="s">
        <v>451</v>
      </c>
      <c r="B42" s="16">
        <v>2.3E-2</v>
      </c>
      <c r="C42" s="16">
        <v>2.1000000000000001E-2</v>
      </c>
      <c r="D42" s="16"/>
      <c r="E42" s="16"/>
      <c r="F42" s="16"/>
      <c r="G42" s="16"/>
      <c r="H42" s="16"/>
      <c r="I42" s="16"/>
      <c r="J42" s="16"/>
      <c r="K42" s="16"/>
      <c r="L42" s="16"/>
      <c r="M42" s="16"/>
      <c r="N42" s="16"/>
      <c r="O42" s="16"/>
    </row>
    <row r="43" spans="1:15" x14ac:dyDescent="0.35">
      <c r="A43" s="11" t="s">
        <v>452</v>
      </c>
      <c r="B43" s="16">
        <v>2.3E-2</v>
      </c>
      <c r="C43" s="16">
        <v>2.7E-2</v>
      </c>
      <c r="D43" s="16"/>
      <c r="E43" s="16"/>
      <c r="F43" s="16"/>
      <c r="G43" s="16"/>
      <c r="H43" s="16"/>
      <c r="I43" s="16"/>
      <c r="J43" s="16"/>
      <c r="K43" s="16"/>
      <c r="L43" s="16"/>
      <c r="M43" s="16"/>
      <c r="N43" s="16"/>
      <c r="O43" s="16"/>
    </row>
    <row r="44" spans="1:15" x14ac:dyDescent="0.35">
      <c r="A44" s="11" t="s">
        <v>453</v>
      </c>
      <c r="B44" s="16">
        <v>2.4E-2</v>
      </c>
      <c r="C44" s="16">
        <v>2.7E-2</v>
      </c>
      <c r="D44" s="16"/>
      <c r="E44" s="16"/>
      <c r="F44" s="16"/>
      <c r="G44" s="16"/>
      <c r="H44" s="16"/>
      <c r="I44" s="16"/>
      <c r="J44" s="16"/>
      <c r="K44" s="16"/>
      <c r="L44" s="16"/>
      <c r="M44" s="16"/>
      <c r="N44" s="16"/>
      <c r="O44" s="16"/>
    </row>
    <row r="45" spans="1:15" x14ac:dyDescent="0.35">
      <c r="A45" s="11" t="s">
        <v>454</v>
      </c>
      <c r="B45" s="16">
        <v>2.5000000000000001E-2</v>
      </c>
      <c r="C45" s="16">
        <v>2.9000000000000001E-2</v>
      </c>
      <c r="D45" s="16"/>
      <c r="E45" s="16"/>
      <c r="F45" s="16"/>
      <c r="G45" s="16"/>
      <c r="H45" s="16"/>
      <c r="I45" s="16"/>
      <c r="J45" s="16"/>
      <c r="K45" s="16"/>
      <c r="L45" s="16"/>
      <c r="M45" s="16"/>
      <c r="N45" s="16"/>
      <c r="O45" s="16"/>
    </row>
    <row r="46" spans="1:15" x14ac:dyDescent="0.35">
      <c r="A46" s="11" t="s">
        <v>455</v>
      </c>
      <c r="B46" s="16">
        <v>2.5999999999999999E-2</v>
      </c>
      <c r="C46" s="16">
        <v>2.8000000000000001E-2</v>
      </c>
      <c r="D46" s="16"/>
      <c r="E46" s="16"/>
      <c r="F46" s="16"/>
      <c r="G46" s="16"/>
      <c r="H46" s="16"/>
      <c r="I46" s="16"/>
      <c r="J46" s="16"/>
      <c r="K46" s="16"/>
      <c r="L46" s="16"/>
      <c r="M46" s="16"/>
      <c r="N46" s="16"/>
      <c r="O46" s="16"/>
    </row>
    <row r="47" spans="1:15" x14ac:dyDescent="0.35">
      <c r="A47" s="11" t="s">
        <v>456</v>
      </c>
      <c r="B47" s="16">
        <v>2.5999999999999999E-2</v>
      </c>
      <c r="C47" s="16">
        <v>3.2000000000000001E-2</v>
      </c>
      <c r="D47" s="16"/>
      <c r="E47" s="16"/>
      <c r="F47" s="16"/>
      <c r="G47" s="16"/>
      <c r="H47" s="16"/>
      <c r="I47" s="16"/>
      <c r="J47" s="16"/>
      <c r="K47" s="16"/>
      <c r="L47" s="16"/>
      <c r="M47" s="16"/>
      <c r="N47" s="16"/>
      <c r="O47" s="16"/>
    </row>
    <row r="48" spans="1:15" x14ac:dyDescent="0.35">
      <c r="A48" s="11" t="s">
        <v>457</v>
      </c>
      <c r="B48" s="16">
        <v>2.8000000000000001E-2</v>
      </c>
      <c r="C48" s="16">
        <v>3.5999999999999997E-2</v>
      </c>
      <c r="D48" s="16"/>
      <c r="E48" s="16"/>
      <c r="F48" s="16"/>
      <c r="G48" s="16"/>
      <c r="H48" s="16"/>
      <c r="I48" s="16"/>
      <c r="J48" s="16"/>
      <c r="K48" s="16"/>
      <c r="L48" s="16"/>
      <c r="M48" s="16"/>
      <c r="N48" s="16"/>
      <c r="O48" s="16"/>
    </row>
    <row r="49" spans="1:15" x14ac:dyDescent="0.35">
      <c r="A49" s="11" t="s">
        <v>458</v>
      </c>
      <c r="B49" s="16">
        <v>2.9000000000000001E-2</v>
      </c>
      <c r="C49" s="16">
        <v>3.7999999999999999E-2</v>
      </c>
      <c r="D49" s="16"/>
      <c r="E49" s="16"/>
      <c r="F49" s="16"/>
      <c r="G49" s="16"/>
      <c r="H49" s="16"/>
      <c r="I49" s="16"/>
      <c r="J49" s="16"/>
      <c r="K49" s="16"/>
      <c r="L49" s="16"/>
      <c r="M49" s="16"/>
      <c r="N49" s="16"/>
      <c r="O49" s="16"/>
    </row>
    <row r="50" spans="1:15" x14ac:dyDescent="0.35">
      <c r="A50" s="11" t="s">
        <v>459</v>
      </c>
      <c r="B50" s="16">
        <v>2.8000000000000001E-2</v>
      </c>
      <c r="C50" s="16">
        <v>4.2999999999999997E-2</v>
      </c>
      <c r="D50" s="16"/>
      <c r="E50" s="16"/>
      <c r="F50" s="16"/>
      <c r="G50" s="16"/>
      <c r="H50" s="16"/>
      <c r="I50" s="16"/>
      <c r="J50" s="16"/>
      <c r="K50" s="16"/>
      <c r="L50" s="16"/>
      <c r="M50" s="16"/>
      <c r="N50" s="16"/>
      <c r="O50" s="16"/>
    </row>
    <row r="51" spans="1:15" x14ac:dyDescent="0.35">
      <c r="A51" s="11" t="s">
        <v>460</v>
      </c>
      <c r="B51" s="16">
        <v>3.3000000000000002E-2</v>
      </c>
      <c r="C51" s="16">
        <v>4.3999999999999997E-2</v>
      </c>
      <c r="D51" s="16"/>
      <c r="E51" s="16"/>
      <c r="F51" s="16"/>
      <c r="G51" s="16"/>
      <c r="H51" s="16"/>
      <c r="I51" s="16"/>
      <c r="J51" s="16"/>
      <c r="K51" s="16"/>
      <c r="L51" s="16"/>
      <c r="M51" s="16"/>
      <c r="N51" s="16"/>
      <c r="O51" s="16"/>
    </row>
    <row r="52" spans="1:15" x14ac:dyDescent="0.35">
      <c r="A52" s="11" t="s">
        <v>461</v>
      </c>
      <c r="B52" s="16">
        <v>3.1E-2</v>
      </c>
      <c r="C52" s="16">
        <v>4.8000000000000001E-2</v>
      </c>
      <c r="D52" s="16"/>
      <c r="E52" s="16"/>
      <c r="F52" s="16"/>
      <c r="G52" s="16"/>
      <c r="H52" s="16"/>
      <c r="I52" s="16"/>
      <c r="J52" s="16"/>
      <c r="K52" s="16"/>
      <c r="L52" s="16"/>
      <c r="M52" s="16"/>
      <c r="N52" s="16"/>
      <c r="O52" s="16"/>
    </row>
    <row r="53" spans="1:15" x14ac:dyDescent="0.35">
      <c r="A53" s="11" t="s">
        <v>462</v>
      </c>
      <c r="B53" s="16">
        <v>3.5999999999999997E-2</v>
      </c>
      <c r="C53" s="16">
        <v>5.2999999999999999E-2</v>
      </c>
      <c r="D53" s="16"/>
      <c r="E53" s="16"/>
      <c r="F53" s="16"/>
      <c r="G53" s="16"/>
      <c r="H53" s="16"/>
      <c r="I53" s="16"/>
      <c r="J53" s="16"/>
      <c r="K53" s="16"/>
      <c r="L53" s="16"/>
      <c r="M53" s="16"/>
      <c r="N53" s="16"/>
      <c r="O53" s="16"/>
    </row>
    <row r="54" spans="1:15" x14ac:dyDescent="0.35">
      <c r="A54" s="11" t="s">
        <v>463</v>
      </c>
      <c r="B54" s="16">
        <v>4.1000000000000002E-2</v>
      </c>
      <c r="C54" s="16">
        <v>6.8000000000000005E-2</v>
      </c>
      <c r="D54" s="16"/>
      <c r="E54" s="16"/>
      <c r="F54" s="16"/>
      <c r="G54" s="16"/>
      <c r="H54" s="16"/>
      <c r="I54" s="16"/>
      <c r="J54" s="16"/>
      <c r="K54" s="16"/>
      <c r="L54" s="16"/>
      <c r="M54" s="16"/>
      <c r="N54" s="16"/>
      <c r="O54" s="16"/>
    </row>
    <row r="55" spans="1:15" x14ac:dyDescent="0.35">
      <c r="A55" s="11" t="s">
        <v>464</v>
      </c>
      <c r="B55" s="16">
        <v>4.2999999999999997E-2</v>
      </c>
      <c r="C55" s="16">
        <v>8.3000000000000004E-2</v>
      </c>
      <c r="D55" s="16"/>
      <c r="E55" s="16"/>
      <c r="F55" s="16"/>
      <c r="G55" s="16"/>
      <c r="H55" s="16"/>
      <c r="I55" s="16"/>
      <c r="J55" s="16"/>
      <c r="K55" s="16"/>
      <c r="L55" s="16"/>
      <c r="M55" s="16"/>
      <c r="N55" s="16"/>
      <c r="O55" s="16"/>
    </row>
    <row r="56" spans="1:15" x14ac:dyDescent="0.35">
      <c r="A56" s="11" t="s">
        <v>465</v>
      </c>
      <c r="B56" s="16">
        <v>0.10100000000000001</v>
      </c>
      <c r="C56" s="16">
        <v>0.15</v>
      </c>
      <c r="D56" s="16"/>
      <c r="E56" s="16"/>
      <c r="F56" s="16"/>
      <c r="G56" s="16"/>
      <c r="H56" s="16"/>
      <c r="I56" s="16"/>
      <c r="J56" s="16"/>
      <c r="K56" s="16"/>
      <c r="L56" s="16"/>
      <c r="M56" s="16"/>
      <c r="N56" s="16"/>
      <c r="O56" s="16"/>
    </row>
    <row r="57" spans="1:15" ht="30" customHeight="1" x14ac:dyDescent="0.4">
      <c r="A57" s="5" t="s">
        <v>28</v>
      </c>
      <c r="B57" s="16"/>
      <c r="C57" s="16"/>
      <c r="D57" s="16"/>
      <c r="E57" s="16"/>
      <c r="F57" s="16"/>
      <c r="G57" s="16"/>
      <c r="H57" s="16"/>
      <c r="I57" s="16"/>
      <c r="J57" s="16"/>
      <c r="K57" s="16"/>
      <c r="L57" s="16"/>
      <c r="M57" s="16"/>
      <c r="N57" s="16"/>
      <c r="O57" s="16"/>
    </row>
    <row r="58" spans="1:15" x14ac:dyDescent="0.35">
      <c r="A58" s="11" t="s">
        <v>386</v>
      </c>
      <c r="B58" s="16" t="s">
        <v>414</v>
      </c>
      <c r="C58" s="16" t="s">
        <v>415</v>
      </c>
      <c r="D58" s="16"/>
      <c r="E58" s="16"/>
      <c r="F58" s="16"/>
      <c r="G58" s="16"/>
      <c r="H58" s="16"/>
      <c r="I58" s="16"/>
      <c r="J58" s="16"/>
      <c r="K58" s="16"/>
      <c r="L58" s="16"/>
      <c r="M58" s="16"/>
      <c r="N58" s="16"/>
      <c r="O58" s="16"/>
    </row>
    <row r="59" spans="1:15" x14ac:dyDescent="0.35">
      <c r="A59" s="8" t="s">
        <v>395</v>
      </c>
      <c r="B59" s="12">
        <v>6059</v>
      </c>
      <c r="C59" s="12">
        <v>1229</v>
      </c>
      <c r="D59" s="12"/>
      <c r="E59" s="12"/>
      <c r="F59" s="12"/>
      <c r="G59" s="12"/>
      <c r="H59" s="12"/>
      <c r="I59" s="12"/>
      <c r="J59" s="12"/>
      <c r="K59" s="12"/>
      <c r="L59" s="12"/>
      <c r="M59" s="12"/>
      <c r="N59" s="12"/>
      <c r="O59" s="12"/>
    </row>
    <row r="60" spans="1:15" x14ac:dyDescent="0.35">
      <c r="A60" s="11"/>
      <c r="B60" s="13"/>
      <c r="C60" s="13"/>
      <c r="D60" s="13"/>
      <c r="E60" s="13"/>
      <c r="F60" s="13"/>
      <c r="G60" s="13"/>
      <c r="H60" s="13"/>
      <c r="I60" s="13"/>
      <c r="J60" s="13"/>
      <c r="K60" s="13"/>
      <c r="L60" s="13"/>
      <c r="M60" s="13"/>
      <c r="N60" s="13"/>
      <c r="O60" s="13"/>
    </row>
    <row r="61" spans="1:15" x14ac:dyDescent="0.35">
      <c r="A61" s="11"/>
      <c r="B61" s="13"/>
      <c r="C61" s="13"/>
      <c r="D61" s="13"/>
      <c r="E61" s="13"/>
      <c r="F61" s="13"/>
      <c r="G61" s="13"/>
      <c r="H61" s="13"/>
      <c r="I61" s="13"/>
      <c r="J61" s="13"/>
      <c r="K61" s="13"/>
      <c r="L61" s="13"/>
      <c r="M61" s="13"/>
      <c r="N61" s="13"/>
      <c r="O61" s="13"/>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33</v>
      </c>
      <c r="B5" s="9"/>
      <c r="C5" s="9"/>
      <c r="D5" s="9"/>
      <c r="E5" s="9"/>
      <c r="F5" s="9"/>
      <c r="G5" s="9"/>
      <c r="H5" s="9"/>
      <c r="I5" s="9"/>
      <c r="J5" s="9"/>
      <c r="K5" s="9"/>
      <c r="L5" s="9"/>
      <c r="M5" s="9"/>
      <c r="N5" s="9"/>
      <c r="O5" s="9"/>
    </row>
    <row r="6" spans="1:15" x14ac:dyDescent="0.35">
      <c r="A6" s="11" t="s">
        <v>467</v>
      </c>
      <c r="B6" s="9" t="s">
        <v>416</v>
      </c>
      <c r="C6" s="9" t="s">
        <v>417</v>
      </c>
      <c r="D6" s="9" t="s">
        <v>418</v>
      </c>
      <c r="E6" s="9" t="s">
        <v>419</v>
      </c>
      <c r="F6" s="9" t="s">
        <v>420</v>
      </c>
      <c r="G6" s="9" t="s">
        <v>421</v>
      </c>
      <c r="H6" s="9" t="s">
        <v>422</v>
      </c>
      <c r="I6" s="9" t="s">
        <v>423</v>
      </c>
      <c r="J6" s="9" t="s">
        <v>424</v>
      </c>
      <c r="K6" s="9" t="s">
        <v>425</v>
      </c>
      <c r="L6" s="9"/>
      <c r="M6" s="9"/>
      <c r="N6" s="9"/>
      <c r="O6" s="9"/>
    </row>
    <row r="7" spans="1:15" x14ac:dyDescent="0.35">
      <c r="A7" s="8" t="s">
        <v>394</v>
      </c>
      <c r="B7" s="12">
        <v>7600</v>
      </c>
      <c r="C7" s="12">
        <v>26500</v>
      </c>
      <c r="D7" s="12">
        <v>58700</v>
      </c>
      <c r="E7" s="12">
        <v>121900</v>
      </c>
      <c r="F7" s="12">
        <v>204600</v>
      </c>
      <c r="G7" s="12">
        <v>286800</v>
      </c>
      <c r="H7" s="12">
        <v>426000</v>
      </c>
      <c r="I7" s="12">
        <v>546700</v>
      </c>
      <c r="J7" s="12">
        <v>777600</v>
      </c>
      <c r="K7" s="12">
        <v>1318000</v>
      </c>
      <c r="L7" s="12"/>
      <c r="M7" s="12"/>
      <c r="N7" s="12"/>
      <c r="O7" s="12"/>
    </row>
    <row r="8" spans="1:15" ht="30" customHeight="1" x14ac:dyDescent="0.4">
      <c r="A8" s="5" t="s">
        <v>31</v>
      </c>
      <c r="B8" s="13"/>
      <c r="C8" s="13"/>
      <c r="D8" s="13"/>
      <c r="E8" s="13"/>
      <c r="F8" s="13"/>
      <c r="G8" s="13"/>
      <c r="H8" s="13"/>
      <c r="I8" s="13"/>
      <c r="J8" s="13"/>
      <c r="K8" s="13"/>
      <c r="L8" s="13"/>
      <c r="M8" s="13"/>
      <c r="N8" s="13"/>
      <c r="O8" s="13"/>
    </row>
    <row r="9" spans="1:15" x14ac:dyDescent="0.35">
      <c r="A9" s="11" t="s">
        <v>467</v>
      </c>
      <c r="B9" s="13" t="s">
        <v>416</v>
      </c>
      <c r="C9" s="13" t="s">
        <v>417</v>
      </c>
      <c r="D9" s="13" t="s">
        <v>418</v>
      </c>
      <c r="E9" s="13" t="s">
        <v>419</v>
      </c>
      <c r="F9" s="13" t="s">
        <v>420</v>
      </c>
      <c r="G9" s="13" t="s">
        <v>421</v>
      </c>
      <c r="H9" s="13" t="s">
        <v>422</v>
      </c>
      <c r="I9" s="13" t="s">
        <v>423</v>
      </c>
      <c r="J9" s="13" t="s">
        <v>424</v>
      </c>
      <c r="K9" s="13" t="s">
        <v>425</v>
      </c>
      <c r="L9" s="13"/>
      <c r="M9" s="13"/>
      <c r="N9" s="13"/>
      <c r="O9" s="13"/>
    </row>
    <row r="10" spans="1:15" x14ac:dyDescent="0.35">
      <c r="A10" s="8" t="s">
        <v>394</v>
      </c>
      <c r="B10" s="12">
        <v>49</v>
      </c>
      <c r="C10" s="12">
        <v>50</v>
      </c>
      <c r="D10" s="12">
        <v>55</v>
      </c>
      <c r="E10" s="12">
        <v>44</v>
      </c>
      <c r="F10" s="12">
        <v>48</v>
      </c>
      <c r="G10" s="12">
        <v>54</v>
      </c>
      <c r="H10" s="12">
        <v>56</v>
      </c>
      <c r="I10" s="12">
        <v>56</v>
      </c>
      <c r="J10" s="12">
        <v>60</v>
      </c>
      <c r="K10" s="12">
        <v>62</v>
      </c>
      <c r="L10" s="12"/>
      <c r="M10" s="12"/>
      <c r="N10" s="12"/>
      <c r="O10" s="12"/>
    </row>
    <row r="11" spans="1:15" ht="30" customHeight="1" x14ac:dyDescent="0.4">
      <c r="A11" s="5" t="s">
        <v>32</v>
      </c>
      <c r="B11" s="13"/>
      <c r="C11" s="13"/>
      <c r="D11" s="13"/>
      <c r="E11" s="13"/>
      <c r="F11" s="13"/>
      <c r="G11" s="13"/>
      <c r="H11" s="13"/>
      <c r="I11" s="13"/>
      <c r="J11" s="13"/>
      <c r="K11" s="13"/>
      <c r="L11" s="13"/>
      <c r="M11" s="13"/>
      <c r="N11" s="13"/>
      <c r="O11" s="13"/>
    </row>
    <row r="12" spans="1:15" x14ac:dyDescent="0.35">
      <c r="A12" s="11" t="s">
        <v>467</v>
      </c>
      <c r="B12" s="13" t="s">
        <v>416</v>
      </c>
      <c r="C12" s="13" t="s">
        <v>417</v>
      </c>
      <c r="D12" s="13" t="s">
        <v>418</v>
      </c>
      <c r="E12" s="13" t="s">
        <v>419</v>
      </c>
      <c r="F12" s="13" t="s">
        <v>420</v>
      </c>
      <c r="G12" s="13" t="s">
        <v>421</v>
      </c>
      <c r="H12" s="13" t="s">
        <v>422</v>
      </c>
      <c r="I12" s="13" t="s">
        <v>423</v>
      </c>
      <c r="J12" s="13" t="s">
        <v>424</v>
      </c>
      <c r="K12" s="13" t="s">
        <v>425</v>
      </c>
      <c r="L12" s="13"/>
      <c r="M12" s="13"/>
      <c r="N12" s="13"/>
      <c r="O12" s="13"/>
    </row>
    <row r="13" spans="1:15" x14ac:dyDescent="0.35">
      <c r="A13" s="8" t="s">
        <v>394</v>
      </c>
      <c r="B13" s="12">
        <v>76</v>
      </c>
      <c r="C13" s="12">
        <v>62</v>
      </c>
      <c r="D13" s="12">
        <v>73</v>
      </c>
      <c r="E13" s="12">
        <v>93</v>
      </c>
      <c r="F13" s="12">
        <v>102</v>
      </c>
      <c r="G13" s="12">
        <v>141</v>
      </c>
      <c r="H13" s="12">
        <v>148</v>
      </c>
      <c r="I13" s="12">
        <v>123</v>
      </c>
      <c r="J13" s="12">
        <v>181</v>
      </c>
      <c r="K13" s="12">
        <v>230</v>
      </c>
      <c r="L13" s="12"/>
      <c r="M13" s="12"/>
      <c r="N13" s="12"/>
      <c r="O13" s="12"/>
    </row>
    <row r="14" spans="1:15" x14ac:dyDescent="0.35">
      <c r="A14" s="11"/>
      <c r="B14" s="13"/>
      <c r="C14" s="13"/>
      <c r="D14" s="13"/>
      <c r="E14" s="13"/>
      <c r="F14" s="13"/>
      <c r="G14" s="13"/>
      <c r="H14" s="13"/>
      <c r="I14" s="13"/>
      <c r="J14" s="13"/>
      <c r="K14" s="13"/>
      <c r="L14" s="13"/>
      <c r="M14" s="13"/>
      <c r="N14" s="13"/>
      <c r="O14" s="13"/>
    </row>
    <row r="15" spans="1:15" x14ac:dyDescent="0.35">
      <c r="A15" s="11"/>
      <c r="B15" s="13"/>
      <c r="C15" s="13"/>
      <c r="D15" s="13"/>
      <c r="E15" s="13"/>
      <c r="F15" s="13"/>
      <c r="G15" s="13"/>
      <c r="H15" s="13"/>
      <c r="I15" s="13"/>
      <c r="J15" s="13"/>
      <c r="K15" s="13"/>
      <c r="L15" s="13"/>
      <c r="M15" s="13"/>
      <c r="N15" s="13"/>
      <c r="O15" s="13"/>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37</v>
      </c>
      <c r="B5" s="9"/>
      <c r="C5" s="9"/>
      <c r="D5" s="9"/>
      <c r="E5" s="9"/>
      <c r="F5" s="9"/>
      <c r="G5" s="9"/>
      <c r="H5" s="9"/>
      <c r="I5" s="9"/>
      <c r="J5" s="9"/>
      <c r="K5" s="9"/>
      <c r="L5" s="9"/>
      <c r="M5" s="9"/>
      <c r="N5" s="9"/>
      <c r="O5" s="9"/>
    </row>
    <row r="6" spans="1:15" x14ac:dyDescent="0.35">
      <c r="A6" s="11" t="s">
        <v>468</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416</v>
      </c>
      <c r="B7" s="12">
        <v>3600</v>
      </c>
      <c r="C7" s="12">
        <v>4200</v>
      </c>
      <c r="D7" s="12">
        <v>6200</v>
      </c>
      <c r="E7" s="12">
        <v>7400</v>
      </c>
      <c r="F7" s="12">
        <v>8400</v>
      </c>
      <c r="G7" s="12">
        <v>8100</v>
      </c>
      <c r="H7" s="12">
        <v>7900</v>
      </c>
      <c r="I7" s="12" t="s">
        <v>396</v>
      </c>
      <c r="J7" s="12">
        <v>7600</v>
      </c>
      <c r="K7" s="12"/>
      <c r="L7" s="12"/>
      <c r="M7" s="12"/>
      <c r="N7" s="12"/>
      <c r="O7" s="12"/>
    </row>
    <row r="8" spans="1:15" x14ac:dyDescent="0.35">
      <c r="A8" s="11" t="s">
        <v>417</v>
      </c>
      <c r="B8" s="13">
        <v>19500</v>
      </c>
      <c r="C8" s="13">
        <v>19500</v>
      </c>
      <c r="D8" s="13">
        <v>22000</v>
      </c>
      <c r="E8" s="13">
        <v>20700</v>
      </c>
      <c r="F8" s="13">
        <v>28400</v>
      </c>
      <c r="G8" s="13">
        <v>30900</v>
      </c>
      <c r="H8" s="13">
        <v>26600</v>
      </c>
      <c r="I8" s="13" t="s">
        <v>396</v>
      </c>
      <c r="J8" s="13">
        <v>26500</v>
      </c>
      <c r="K8" s="13"/>
      <c r="L8" s="13"/>
      <c r="M8" s="13"/>
      <c r="N8" s="13"/>
      <c r="O8" s="13"/>
    </row>
    <row r="9" spans="1:15" x14ac:dyDescent="0.35">
      <c r="A9" s="11" t="s">
        <v>418</v>
      </c>
      <c r="B9" s="13">
        <v>47600</v>
      </c>
      <c r="C9" s="13">
        <v>50500</v>
      </c>
      <c r="D9" s="13">
        <v>49800</v>
      </c>
      <c r="E9" s="13">
        <v>52800</v>
      </c>
      <c r="F9" s="13">
        <v>61500</v>
      </c>
      <c r="G9" s="13">
        <v>67200</v>
      </c>
      <c r="H9" s="13">
        <v>53000</v>
      </c>
      <c r="I9" s="13" t="s">
        <v>396</v>
      </c>
      <c r="J9" s="13">
        <v>58700</v>
      </c>
      <c r="K9" s="13"/>
      <c r="L9" s="13"/>
      <c r="M9" s="13"/>
      <c r="N9" s="13"/>
      <c r="O9" s="13"/>
    </row>
    <row r="10" spans="1:15" x14ac:dyDescent="0.35">
      <c r="A10" s="11" t="s">
        <v>419</v>
      </c>
      <c r="B10" s="13">
        <v>96600</v>
      </c>
      <c r="C10" s="13">
        <v>98100</v>
      </c>
      <c r="D10" s="13">
        <v>106600</v>
      </c>
      <c r="E10" s="13">
        <v>108300</v>
      </c>
      <c r="F10" s="13">
        <v>122400</v>
      </c>
      <c r="G10" s="13">
        <v>125200</v>
      </c>
      <c r="H10" s="13">
        <v>109800</v>
      </c>
      <c r="I10" s="13" t="s">
        <v>396</v>
      </c>
      <c r="J10" s="13">
        <v>121900</v>
      </c>
      <c r="K10" s="13"/>
      <c r="L10" s="13"/>
      <c r="M10" s="13"/>
      <c r="N10" s="13"/>
      <c r="O10" s="13"/>
    </row>
    <row r="11" spans="1:15" x14ac:dyDescent="0.35">
      <c r="A11" s="11" t="s">
        <v>420</v>
      </c>
      <c r="B11" s="13">
        <v>169900</v>
      </c>
      <c r="C11" s="13">
        <v>165900</v>
      </c>
      <c r="D11" s="13">
        <v>159900</v>
      </c>
      <c r="E11" s="13">
        <v>170300</v>
      </c>
      <c r="F11" s="13">
        <v>205300</v>
      </c>
      <c r="G11" s="13">
        <v>200700</v>
      </c>
      <c r="H11" s="13">
        <v>177200</v>
      </c>
      <c r="I11" s="13" t="s">
        <v>396</v>
      </c>
      <c r="J11" s="13">
        <v>204600</v>
      </c>
      <c r="K11" s="13"/>
      <c r="L11" s="13"/>
      <c r="M11" s="13"/>
      <c r="N11" s="13"/>
      <c r="O11" s="13"/>
    </row>
    <row r="12" spans="1:15" x14ac:dyDescent="0.35">
      <c r="A12" s="11" t="s">
        <v>421</v>
      </c>
      <c r="B12" s="13">
        <v>235900</v>
      </c>
      <c r="C12" s="13">
        <v>230600</v>
      </c>
      <c r="D12" s="13">
        <v>234600</v>
      </c>
      <c r="E12" s="13">
        <v>258800</v>
      </c>
      <c r="F12" s="13">
        <v>305700</v>
      </c>
      <c r="G12" s="13">
        <v>308500</v>
      </c>
      <c r="H12" s="13">
        <v>280300</v>
      </c>
      <c r="I12" s="13" t="s">
        <v>396</v>
      </c>
      <c r="J12" s="13">
        <v>286800</v>
      </c>
      <c r="K12" s="13"/>
      <c r="L12" s="13"/>
      <c r="M12" s="13"/>
      <c r="N12" s="13"/>
      <c r="O12" s="13"/>
    </row>
    <row r="13" spans="1:15" x14ac:dyDescent="0.35">
      <c r="A13" s="11" t="s">
        <v>422</v>
      </c>
      <c r="B13" s="13">
        <v>343100</v>
      </c>
      <c r="C13" s="13">
        <v>319300</v>
      </c>
      <c r="D13" s="13">
        <v>344300</v>
      </c>
      <c r="E13" s="13">
        <v>382100</v>
      </c>
      <c r="F13" s="13">
        <v>428200</v>
      </c>
      <c r="G13" s="13">
        <v>447900</v>
      </c>
      <c r="H13" s="13">
        <v>401800</v>
      </c>
      <c r="I13" s="13" t="s">
        <v>396</v>
      </c>
      <c r="J13" s="13">
        <v>426000</v>
      </c>
      <c r="K13" s="13"/>
      <c r="L13" s="13"/>
      <c r="M13" s="13"/>
      <c r="N13" s="13"/>
      <c r="O13" s="13"/>
    </row>
    <row r="14" spans="1:15" x14ac:dyDescent="0.35">
      <c r="A14" s="11" t="s">
        <v>423</v>
      </c>
      <c r="B14" s="13">
        <v>476100</v>
      </c>
      <c r="C14" s="13">
        <v>457900</v>
      </c>
      <c r="D14" s="13">
        <v>486700</v>
      </c>
      <c r="E14" s="13">
        <v>531800</v>
      </c>
      <c r="F14" s="13">
        <v>610500</v>
      </c>
      <c r="G14" s="13">
        <v>652300</v>
      </c>
      <c r="H14" s="13">
        <v>608200</v>
      </c>
      <c r="I14" s="13" t="s">
        <v>396</v>
      </c>
      <c r="J14" s="13">
        <v>546700</v>
      </c>
      <c r="K14" s="13"/>
      <c r="L14" s="13"/>
      <c r="M14" s="13"/>
      <c r="N14" s="13"/>
      <c r="O14" s="13"/>
    </row>
    <row r="15" spans="1:15" x14ac:dyDescent="0.35">
      <c r="A15" s="11" t="s">
        <v>424</v>
      </c>
      <c r="B15" s="13">
        <v>661900</v>
      </c>
      <c r="C15" s="13">
        <v>665400</v>
      </c>
      <c r="D15" s="13">
        <v>686900</v>
      </c>
      <c r="E15" s="13">
        <v>812300</v>
      </c>
      <c r="F15" s="13">
        <v>915700</v>
      </c>
      <c r="G15" s="13">
        <v>998300</v>
      </c>
      <c r="H15" s="13">
        <v>960400</v>
      </c>
      <c r="I15" s="13" t="s">
        <v>396</v>
      </c>
      <c r="J15" s="13">
        <v>777600</v>
      </c>
      <c r="K15" s="13"/>
      <c r="L15" s="13"/>
      <c r="M15" s="13"/>
      <c r="N15" s="13"/>
      <c r="O15" s="13"/>
    </row>
    <row r="16" spans="1:15" x14ac:dyDescent="0.35">
      <c r="A16" s="11" t="s">
        <v>425</v>
      </c>
      <c r="B16" s="13">
        <v>1289200</v>
      </c>
      <c r="C16" s="13">
        <v>1279200</v>
      </c>
      <c r="D16" s="13">
        <v>1282300</v>
      </c>
      <c r="E16" s="13">
        <v>1543500</v>
      </c>
      <c r="F16" s="13">
        <v>1596400</v>
      </c>
      <c r="G16" s="13">
        <v>1777900</v>
      </c>
      <c r="H16" s="13">
        <v>1717700</v>
      </c>
      <c r="I16" s="13" t="s">
        <v>396</v>
      </c>
      <c r="J16" s="13">
        <v>1318000</v>
      </c>
      <c r="K16" s="13"/>
      <c r="L16" s="13"/>
      <c r="M16" s="13"/>
      <c r="N16" s="13"/>
      <c r="O16" s="13"/>
    </row>
    <row r="17" spans="1:15" x14ac:dyDescent="0.35">
      <c r="A17" s="11" t="s">
        <v>395</v>
      </c>
      <c r="B17" s="13">
        <v>199100</v>
      </c>
      <c r="C17" s="13">
        <v>195200</v>
      </c>
      <c r="D17" s="13">
        <v>196600</v>
      </c>
      <c r="E17" s="13">
        <v>210400</v>
      </c>
      <c r="F17" s="13">
        <v>260000</v>
      </c>
      <c r="G17" s="13">
        <v>252000</v>
      </c>
      <c r="H17" s="13">
        <v>222500</v>
      </c>
      <c r="I17" s="13" t="s">
        <v>396</v>
      </c>
      <c r="J17" s="13">
        <v>239500</v>
      </c>
      <c r="K17" s="13"/>
      <c r="L17" s="13"/>
      <c r="M17" s="13"/>
      <c r="N17" s="13"/>
      <c r="O17" s="13"/>
    </row>
    <row r="18" spans="1:15" ht="30" customHeight="1" x14ac:dyDescent="0.4">
      <c r="A18" s="5" t="s">
        <v>35</v>
      </c>
      <c r="B18" s="13"/>
      <c r="C18" s="13"/>
      <c r="D18" s="13"/>
      <c r="E18" s="13"/>
      <c r="F18" s="13"/>
      <c r="G18" s="13"/>
      <c r="H18" s="13"/>
      <c r="I18" s="13"/>
      <c r="J18" s="13"/>
      <c r="K18" s="13"/>
      <c r="L18" s="13"/>
      <c r="M18" s="13"/>
      <c r="N18" s="13"/>
      <c r="O18" s="13"/>
    </row>
    <row r="19" spans="1:15" x14ac:dyDescent="0.35">
      <c r="A19" s="11" t="s">
        <v>468</v>
      </c>
      <c r="B19" s="13" t="s">
        <v>387</v>
      </c>
      <c r="C19" s="13" t="s">
        <v>388</v>
      </c>
      <c r="D19" s="13" t="s">
        <v>389</v>
      </c>
      <c r="E19" s="13" t="s">
        <v>390</v>
      </c>
      <c r="F19" s="13" t="s">
        <v>391</v>
      </c>
      <c r="G19" s="13" t="s">
        <v>392</v>
      </c>
      <c r="H19" s="13" t="s">
        <v>393</v>
      </c>
      <c r="I19" s="13" t="s">
        <v>381</v>
      </c>
      <c r="J19" s="13" t="s">
        <v>394</v>
      </c>
      <c r="K19" s="13"/>
      <c r="L19" s="13"/>
      <c r="M19" s="13"/>
      <c r="N19" s="13"/>
      <c r="O19" s="13"/>
    </row>
    <row r="20" spans="1:15" x14ac:dyDescent="0.35">
      <c r="A20" s="8" t="s">
        <v>416</v>
      </c>
      <c r="B20" s="12">
        <v>42</v>
      </c>
      <c r="C20" s="12">
        <v>41</v>
      </c>
      <c r="D20" s="12">
        <v>41</v>
      </c>
      <c r="E20" s="12">
        <v>44</v>
      </c>
      <c r="F20" s="12">
        <v>50</v>
      </c>
      <c r="G20" s="12">
        <v>42</v>
      </c>
      <c r="H20" s="12">
        <v>47</v>
      </c>
      <c r="I20" s="12" t="s">
        <v>381</v>
      </c>
      <c r="J20" s="12">
        <v>49</v>
      </c>
      <c r="K20" s="12"/>
      <c r="L20" s="12"/>
      <c r="M20" s="12"/>
      <c r="N20" s="12"/>
      <c r="O20" s="12"/>
    </row>
    <row r="21" spans="1:15" x14ac:dyDescent="0.35">
      <c r="A21" s="11" t="s">
        <v>417</v>
      </c>
      <c r="B21" s="13">
        <v>43</v>
      </c>
      <c r="C21" s="13">
        <v>44</v>
      </c>
      <c r="D21" s="13">
        <v>47</v>
      </c>
      <c r="E21" s="13">
        <v>48</v>
      </c>
      <c r="F21" s="13">
        <v>47</v>
      </c>
      <c r="G21" s="13">
        <v>46</v>
      </c>
      <c r="H21" s="13">
        <v>48</v>
      </c>
      <c r="I21" s="13" t="s">
        <v>381</v>
      </c>
      <c r="J21" s="13">
        <v>50</v>
      </c>
      <c r="K21" s="13"/>
      <c r="L21" s="13"/>
      <c r="M21" s="13"/>
      <c r="N21" s="13"/>
      <c r="O21" s="13"/>
    </row>
    <row r="22" spans="1:15" x14ac:dyDescent="0.35">
      <c r="A22" s="11" t="s">
        <v>418</v>
      </c>
      <c r="B22" s="13">
        <v>47</v>
      </c>
      <c r="C22" s="13">
        <v>44</v>
      </c>
      <c r="D22" s="13">
        <v>47</v>
      </c>
      <c r="E22" s="13">
        <v>49</v>
      </c>
      <c r="F22" s="13">
        <v>50</v>
      </c>
      <c r="G22" s="13">
        <v>44</v>
      </c>
      <c r="H22" s="13">
        <v>47</v>
      </c>
      <c r="I22" s="13" t="s">
        <v>381</v>
      </c>
      <c r="J22" s="13">
        <v>55</v>
      </c>
      <c r="K22" s="13"/>
      <c r="L22" s="13"/>
      <c r="M22" s="13"/>
      <c r="N22" s="13"/>
      <c r="O22" s="13"/>
    </row>
    <row r="23" spans="1:15" x14ac:dyDescent="0.35">
      <c r="A23" s="11" t="s">
        <v>419</v>
      </c>
      <c r="B23" s="13">
        <v>45</v>
      </c>
      <c r="C23" s="13">
        <v>42</v>
      </c>
      <c r="D23" s="13">
        <v>42</v>
      </c>
      <c r="E23" s="13">
        <v>47</v>
      </c>
      <c r="F23" s="13">
        <v>48</v>
      </c>
      <c r="G23" s="13">
        <v>49</v>
      </c>
      <c r="H23" s="13">
        <v>50</v>
      </c>
      <c r="I23" s="13" t="s">
        <v>381</v>
      </c>
      <c r="J23" s="13">
        <v>44</v>
      </c>
      <c r="K23" s="13"/>
      <c r="L23" s="13"/>
      <c r="M23" s="13"/>
      <c r="N23" s="13"/>
      <c r="O23" s="13"/>
    </row>
    <row r="24" spans="1:15" x14ac:dyDescent="0.35">
      <c r="A24" s="11" t="s">
        <v>420</v>
      </c>
      <c r="B24" s="13">
        <v>51</v>
      </c>
      <c r="C24" s="13">
        <v>49</v>
      </c>
      <c r="D24" s="13">
        <v>48</v>
      </c>
      <c r="E24" s="13">
        <v>53</v>
      </c>
      <c r="F24" s="13">
        <v>52</v>
      </c>
      <c r="G24" s="13">
        <v>48</v>
      </c>
      <c r="H24" s="13">
        <v>46</v>
      </c>
      <c r="I24" s="13" t="s">
        <v>381</v>
      </c>
      <c r="J24" s="13">
        <v>48</v>
      </c>
      <c r="K24" s="13"/>
      <c r="L24" s="13"/>
      <c r="M24" s="13"/>
      <c r="N24" s="13"/>
      <c r="O24" s="13"/>
    </row>
    <row r="25" spans="1:15" x14ac:dyDescent="0.35">
      <c r="A25" s="11" t="s">
        <v>421</v>
      </c>
      <c r="B25" s="13">
        <v>51</v>
      </c>
      <c r="C25" s="13">
        <v>49</v>
      </c>
      <c r="D25" s="13">
        <v>54</v>
      </c>
      <c r="E25" s="13">
        <v>58</v>
      </c>
      <c r="F25" s="13">
        <v>54</v>
      </c>
      <c r="G25" s="13">
        <v>50</v>
      </c>
      <c r="H25" s="13">
        <v>53</v>
      </c>
      <c r="I25" s="13" t="s">
        <v>381</v>
      </c>
      <c r="J25" s="13">
        <v>54</v>
      </c>
      <c r="K25" s="13"/>
      <c r="L25" s="13"/>
      <c r="M25" s="13"/>
      <c r="N25" s="13"/>
      <c r="O25" s="13"/>
    </row>
    <row r="26" spans="1:15" x14ac:dyDescent="0.35">
      <c r="A26" s="11" t="s">
        <v>422</v>
      </c>
      <c r="B26" s="13">
        <v>57</v>
      </c>
      <c r="C26" s="13">
        <v>53</v>
      </c>
      <c r="D26" s="13">
        <v>58</v>
      </c>
      <c r="E26" s="13">
        <v>54</v>
      </c>
      <c r="F26" s="13">
        <v>54</v>
      </c>
      <c r="G26" s="13">
        <v>56</v>
      </c>
      <c r="H26" s="13">
        <v>56</v>
      </c>
      <c r="I26" s="13" t="s">
        <v>381</v>
      </c>
      <c r="J26" s="13">
        <v>56</v>
      </c>
      <c r="K26" s="13"/>
      <c r="L26" s="13"/>
      <c r="M26" s="13"/>
      <c r="N26" s="13"/>
      <c r="O26" s="13"/>
    </row>
    <row r="27" spans="1:15" x14ac:dyDescent="0.35">
      <c r="A27" s="11" t="s">
        <v>423</v>
      </c>
      <c r="B27" s="13">
        <v>53</v>
      </c>
      <c r="C27" s="13">
        <v>56</v>
      </c>
      <c r="D27" s="13">
        <v>54</v>
      </c>
      <c r="E27" s="13">
        <v>56</v>
      </c>
      <c r="F27" s="13">
        <v>57</v>
      </c>
      <c r="G27" s="13">
        <v>57</v>
      </c>
      <c r="H27" s="13">
        <v>60</v>
      </c>
      <c r="I27" s="13" t="s">
        <v>381</v>
      </c>
      <c r="J27" s="13">
        <v>56</v>
      </c>
      <c r="K27" s="13"/>
      <c r="L27" s="13"/>
      <c r="M27" s="13"/>
      <c r="N27" s="13"/>
      <c r="O27" s="13"/>
    </row>
    <row r="28" spans="1:15" x14ac:dyDescent="0.35">
      <c r="A28" s="11" t="s">
        <v>424</v>
      </c>
      <c r="B28" s="13">
        <v>56</v>
      </c>
      <c r="C28" s="13">
        <v>55</v>
      </c>
      <c r="D28" s="13">
        <v>59</v>
      </c>
      <c r="E28" s="13">
        <v>62</v>
      </c>
      <c r="F28" s="13">
        <v>62</v>
      </c>
      <c r="G28" s="13">
        <v>59</v>
      </c>
      <c r="H28" s="13">
        <v>59</v>
      </c>
      <c r="I28" s="13" t="s">
        <v>381</v>
      </c>
      <c r="J28" s="13">
        <v>60</v>
      </c>
      <c r="K28" s="13"/>
      <c r="L28" s="13"/>
      <c r="M28" s="13"/>
      <c r="N28" s="13"/>
      <c r="O28" s="13"/>
    </row>
    <row r="29" spans="1:15" x14ac:dyDescent="0.35">
      <c r="A29" s="11" t="s">
        <v>425</v>
      </c>
      <c r="B29" s="13">
        <v>57</v>
      </c>
      <c r="C29" s="13">
        <v>60</v>
      </c>
      <c r="D29" s="13">
        <v>60</v>
      </c>
      <c r="E29" s="13">
        <v>61</v>
      </c>
      <c r="F29" s="13">
        <v>61</v>
      </c>
      <c r="G29" s="13">
        <v>61</v>
      </c>
      <c r="H29" s="13">
        <v>61</v>
      </c>
      <c r="I29" s="13" t="s">
        <v>381</v>
      </c>
      <c r="J29" s="13">
        <v>62</v>
      </c>
      <c r="K29" s="13"/>
      <c r="L29" s="13"/>
      <c r="M29" s="13"/>
      <c r="N29" s="13"/>
      <c r="O29" s="13"/>
    </row>
    <row r="30" spans="1:15" x14ac:dyDescent="0.35">
      <c r="A30" s="11" t="s">
        <v>395</v>
      </c>
      <c r="B30" s="13">
        <v>51</v>
      </c>
      <c r="C30" s="13">
        <v>51</v>
      </c>
      <c r="D30" s="13">
        <v>53</v>
      </c>
      <c r="E30" s="13">
        <v>55</v>
      </c>
      <c r="F30" s="13">
        <v>54</v>
      </c>
      <c r="G30" s="13">
        <v>53</v>
      </c>
      <c r="H30" s="13">
        <v>54</v>
      </c>
      <c r="I30" s="13" t="s">
        <v>381</v>
      </c>
      <c r="J30" s="13">
        <v>55</v>
      </c>
      <c r="K30" s="13"/>
      <c r="L30" s="13"/>
      <c r="M30" s="13"/>
      <c r="N30" s="13"/>
      <c r="O30" s="13"/>
    </row>
    <row r="31" spans="1:15" ht="30" customHeight="1" x14ac:dyDescent="0.4">
      <c r="A31" s="5" t="s">
        <v>36</v>
      </c>
      <c r="B31" s="13"/>
      <c r="C31" s="13"/>
      <c r="D31" s="13"/>
      <c r="E31" s="13"/>
      <c r="F31" s="13"/>
      <c r="G31" s="13"/>
      <c r="H31" s="13"/>
      <c r="I31" s="13"/>
      <c r="J31" s="13"/>
      <c r="K31" s="13"/>
      <c r="L31" s="13"/>
      <c r="M31" s="13"/>
      <c r="N31" s="13"/>
      <c r="O31" s="13"/>
    </row>
    <row r="32" spans="1:15" x14ac:dyDescent="0.35">
      <c r="A32" s="11" t="s">
        <v>468</v>
      </c>
      <c r="B32" s="13" t="s">
        <v>387</v>
      </c>
      <c r="C32" s="13" t="s">
        <v>388</v>
      </c>
      <c r="D32" s="13" t="s">
        <v>389</v>
      </c>
      <c r="E32" s="13" t="s">
        <v>390</v>
      </c>
      <c r="F32" s="13" t="s">
        <v>391</v>
      </c>
      <c r="G32" s="13" t="s">
        <v>392</v>
      </c>
      <c r="H32" s="13" t="s">
        <v>393</v>
      </c>
      <c r="I32" s="13" t="s">
        <v>381</v>
      </c>
      <c r="J32" s="13" t="s">
        <v>394</v>
      </c>
      <c r="K32" s="13"/>
      <c r="L32" s="13"/>
      <c r="M32" s="13"/>
      <c r="N32" s="13"/>
      <c r="O32" s="13"/>
    </row>
    <row r="33" spans="1:15" x14ac:dyDescent="0.35">
      <c r="A33" s="8" t="s">
        <v>416</v>
      </c>
      <c r="B33" s="12">
        <v>148</v>
      </c>
      <c r="C33" s="12">
        <v>165</v>
      </c>
      <c r="D33" s="12">
        <v>189</v>
      </c>
      <c r="E33" s="12">
        <v>144</v>
      </c>
      <c r="F33" s="12">
        <v>133</v>
      </c>
      <c r="G33" s="12">
        <v>122</v>
      </c>
      <c r="H33" s="12">
        <v>100</v>
      </c>
      <c r="I33" s="12" t="s">
        <v>381</v>
      </c>
      <c r="J33" s="12">
        <v>76</v>
      </c>
      <c r="K33" s="12"/>
      <c r="L33" s="12"/>
      <c r="M33" s="12"/>
      <c r="N33" s="12"/>
      <c r="O33" s="12"/>
    </row>
    <row r="34" spans="1:15" x14ac:dyDescent="0.35">
      <c r="A34" s="11" t="s">
        <v>417</v>
      </c>
      <c r="B34" s="13">
        <v>147</v>
      </c>
      <c r="C34" s="13">
        <v>149</v>
      </c>
      <c r="D34" s="13">
        <v>164</v>
      </c>
      <c r="E34" s="13">
        <v>135</v>
      </c>
      <c r="F34" s="13">
        <v>134</v>
      </c>
      <c r="G34" s="13">
        <v>131</v>
      </c>
      <c r="H34" s="13">
        <v>96</v>
      </c>
      <c r="I34" s="13" t="s">
        <v>381</v>
      </c>
      <c r="J34" s="13">
        <v>62</v>
      </c>
      <c r="K34" s="13"/>
      <c r="L34" s="13"/>
      <c r="M34" s="13"/>
      <c r="N34" s="13"/>
      <c r="O34" s="13"/>
    </row>
    <row r="35" spans="1:15" x14ac:dyDescent="0.35">
      <c r="A35" s="11" t="s">
        <v>418</v>
      </c>
      <c r="B35" s="13">
        <v>149</v>
      </c>
      <c r="C35" s="13">
        <v>160</v>
      </c>
      <c r="D35" s="13">
        <v>174</v>
      </c>
      <c r="E35" s="13">
        <v>168</v>
      </c>
      <c r="F35" s="13">
        <v>137</v>
      </c>
      <c r="G35" s="13">
        <v>115</v>
      </c>
      <c r="H35" s="13">
        <v>108</v>
      </c>
      <c r="I35" s="13" t="s">
        <v>381</v>
      </c>
      <c r="J35" s="13">
        <v>73</v>
      </c>
      <c r="K35" s="13"/>
      <c r="L35" s="13"/>
      <c r="M35" s="13"/>
      <c r="N35" s="13"/>
      <c r="O35" s="13"/>
    </row>
    <row r="36" spans="1:15" x14ac:dyDescent="0.35">
      <c r="A36" s="11" t="s">
        <v>419</v>
      </c>
      <c r="B36" s="13">
        <v>150</v>
      </c>
      <c r="C36" s="13">
        <v>173</v>
      </c>
      <c r="D36" s="13">
        <v>160</v>
      </c>
      <c r="E36" s="13">
        <v>164</v>
      </c>
      <c r="F36" s="13">
        <v>151</v>
      </c>
      <c r="G36" s="13">
        <v>132</v>
      </c>
      <c r="H36" s="13">
        <v>123</v>
      </c>
      <c r="I36" s="13" t="s">
        <v>381</v>
      </c>
      <c r="J36" s="13">
        <v>93</v>
      </c>
      <c r="K36" s="13"/>
      <c r="L36" s="13"/>
      <c r="M36" s="13"/>
      <c r="N36" s="13"/>
      <c r="O36" s="13"/>
    </row>
    <row r="37" spans="1:15" x14ac:dyDescent="0.35">
      <c r="A37" s="11" t="s">
        <v>420</v>
      </c>
      <c r="B37" s="13">
        <v>150</v>
      </c>
      <c r="C37" s="13">
        <v>189</v>
      </c>
      <c r="D37" s="13">
        <v>186</v>
      </c>
      <c r="E37" s="13">
        <v>172</v>
      </c>
      <c r="F37" s="13">
        <v>166</v>
      </c>
      <c r="G37" s="13">
        <v>152</v>
      </c>
      <c r="H37" s="13">
        <v>121</v>
      </c>
      <c r="I37" s="13" t="s">
        <v>381</v>
      </c>
      <c r="J37" s="13">
        <v>102</v>
      </c>
      <c r="K37" s="13"/>
      <c r="L37" s="13"/>
      <c r="M37" s="13"/>
      <c r="N37" s="13"/>
      <c r="O37" s="13"/>
    </row>
    <row r="38" spans="1:15" x14ac:dyDescent="0.35">
      <c r="A38" s="11" t="s">
        <v>421</v>
      </c>
      <c r="B38" s="13">
        <v>151</v>
      </c>
      <c r="C38" s="13">
        <v>201</v>
      </c>
      <c r="D38" s="13">
        <v>215</v>
      </c>
      <c r="E38" s="13">
        <v>199</v>
      </c>
      <c r="F38" s="13">
        <v>161</v>
      </c>
      <c r="G38" s="13">
        <v>150</v>
      </c>
      <c r="H38" s="13">
        <v>153</v>
      </c>
      <c r="I38" s="13" t="s">
        <v>381</v>
      </c>
      <c r="J38" s="13">
        <v>141</v>
      </c>
      <c r="K38" s="13"/>
      <c r="L38" s="13"/>
      <c r="M38" s="13"/>
      <c r="N38" s="13"/>
      <c r="O38" s="13"/>
    </row>
    <row r="39" spans="1:15" x14ac:dyDescent="0.35">
      <c r="A39" s="11" t="s">
        <v>422</v>
      </c>
      <c r="B39" s="13">
        <v>160</v>
      </c>
      <c r="C39" s="13">
        <v>212</v>
      </c>
      <c r="D39" s="13">
        <v>217</v>
      </c>
      <c r="E39" s="13">
        <v>197</v>
      </c>
      <c r="F39" s="13">
        <v>166</v>
      </c>
      <c r="G39" s="13">
        <v>177</v>
      </c>
      <c r="H39" s="13">
        <v>172</v>
      </c>
      <c r="I39" s="13" t="s">
        <v>381</v>
      </c>
      <c r="J39" s="13">
        <v>148</v>
      </c>
      <c r="K39" s="13"/>
      <c r="L39" s="13"/>
      <c r="M39" s="13"/>
      <c r="N39" s="13"/>
      <c r="O39" s="13"/>
    </row>
    <row r="40" spans="1:15" x14ac:dyDescent="0.35">
      <c r="A40" s="11" t="s">
        <v>423</v>
      </c>
      <c r="B40" s="13">
        <v>161</v>
      </c>
      <c r="C40" s="13">
        <v>216</v>
      </c>
      <c r="D40" s="13">
        <v>219</v>
      </c>
      <c r="E40" s="13">
        <v>213</v>
      </c>
      <c r="F40" s="13">
        <v>197</v>
      </c>
      <c r="G40" s="13">
        <v>186</v>
      </c>
      <c r="H40" s="13">
        <v>186</v>
      </c>
      <c r="I40" s="13" t="s">
        <v>381</v>
      </c>
      <c r="J40" s="13">
        <v>123</v>
      </c>
      <c r="K40" s="13"/>
      <c r="L40" s="13"/>
      <c r="M40" s="13"/>
      <c r="N40" s="13"/>
      <c r="O40" s="13"/>
    </row>
    <row r="41" spans="1:15" x14ac:dyDescent="0.35">
      <c r="A41" s="11" t="s">
        <v>424</v>
      </c>
      <c r="B41" s="13">
        <v>167</v>
      </c>
      <c r="C41" s="13">
        <v>233</v>
      </c>
      <c r="D41" s="13">
        <v>240</v>
      </c>
      <c r="E41" s="13">
        <v>238</v>
      </c>
      <c r="F41" s="13">
        <v>202</v>
      </c>
      <c r="G41" s="13">
        <v>198</v>
      </c>
      <c r="H41" s="13">
        <v>204</v>
      </c>
      <c r="I41" s="13" t="s">
        <v>381</v>
      </c>
      <c r="J41" s="13">
        <v>181</v>
      </c>
      <c r="K41" s="13"/>
      <c r="L41" s="13"/>
      <c r="M41" s="13"/>
      <c r="N41" s="13"/>
      <c r="O41" s="13"/>
    </row>
    <row r="42" spans="1:15" x14ac:dyDescent="0.35">
      <c r="A42" s="11" t="s">
        <v>425</v>
      </c>
      <c r="B42" s="13">
        <v>216</v>
      </c>
      <c r="C42" s="13">
        <v>297</v>
      </c>
      <c r="D42" s="13">
        <v>305</v>
      </c>
      <c r="E42" s="13">
        <v>260</v>
      </c>
      <c r="F42" s="13">
        <v>249</v>
      </c>
      <c r="G42" s="13">
        <v>244</v>
      </c>
      <c r="H42" s="13">
        <v>251</v>
      </c>
      <c r="I42" s="13" t="s">
        <v>381</v>
      </c>
      <c r="J42" s="13">
        <v>230</v>
      </c>
      <c r="K42" s="13"/>
      <c r="L42" s="13"/>
      <c r="M42" s="13"/>
      <c r="N42" s="13"/>
      <c r="O42" s="13"/>
    </row>
    <row r="43" spans="1:15" x14ac:dyDescent="0.35">
      <c r="A43" s="11" t="s">
        <v>395</v>
      </c>
      <c r="B43" s="13">
        <v>1599</v>
      </c>
      <c r="C43" s="13">
        <v>1995</v>
      </c>
      <c r="D43" s="13">
        <v>2069</v>
      </c>
      <c r="E43" s="13">
        <v>1890</v>
      </c>
      <c r="F43" s="13">
        <v>1696</v>
      </c>
      <c r="G43" s="13">
        <v>1607</v>
      </c>
      <c r="H43" s="13">
        <v>1514</v>
      </c>
      <c r="I43" s="13" t="s">
        <v>381</v>
      </c>
      <c r="J43" s="13">
        <v>1229</v>
      </c>
      <c r="K43" s="13"/>
      <c r="L43" s="13"/>
      <c r="M43" s="13"/>
      <c r="N43" s="13"/>
      <c r="O43" s="13"/>
    </row>
    <row r="44" spans="1:15" x14ac:dyDescent="0.35">
      <c r="A44" s="11"/>
      <c r="B44" s="13"/>
      <c r="C44" s="13"/>
      <c r="D44" s="13"/>
      <c r="E44" s="13"/>
      <c r="F44" s="13"/>
      <c r="G44" s="13"/>
      <c r="H44" s="13"/>
      <c r="I44" s="13"/>
      <c r="J44" s="13"/>
      <c r="K44" s="13"/>
      <c r="L44" s="13"/>
      <c r="M44" s="13"/>
      <c r="N44" s="13"/>
      <c r="O44" s="13"/>
    </row>
    <row r="45" spans="1:15" x14ac:dyDescent="0.35">
      <c r="A45" s="11"/>
      <c r="B45" s="13"/>
      <c r="C45" s="13"/>
      <c r="D45" s="13"/>
      <c r="E45" s="13"/>
      <c r="F45" s="13"/>
      <c r="G45" s="13"/>
      <c r="H45" s="13"/>
      <c r="I45" s="13"/>
      <c r="J45" s="13"/>
      <c r="K45" s="13"/>
      <c r="L45" s="13"/>
      <c r="M45" s="13"/>
      <c r="N45" s="13"/>
      <c r="O45" s="13"/>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41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40</v>
      </c>
      <c r="B5" s="9"/>
      <c r="C5" s="9"/>
      <c r="D5" s="9"/>
      <c r="E5" s="9"/>
      <c r="F5" s="9"/>
      <c r="G5" s="9"/>
      <c r="H5" s="9"/>
      <c r="I5" s="9"/>
      <c r="J5" s="9"/>
      <c r="K5" s="9"/>
      <c r="L5" s="9"/>
      <c r="M5" s="9"/>
      <c r="N5" s="9"/>
      <c r="O5" s="9"/>
    </row>
    <row r="6" spans="1:15" x14ac:dyDescent="0.35">
      <c r="A6" s="11" t="s">
        <v>405</v>
      </c>
      <c r="B6" s="9" t="s">
        <v>416</v>
      </c>
      <c r="C6" s="9" t="s">
        <v>417</v>
      </c>
      <c r="D6" s="9" t="s">
        <v>418</v>
      </c>
      <c r="E6" s="9" t="s">
        <v>419</v>
      </c>
      <c r="F6" s="9" t="s">
        <v>420</v>
      </c>
      <c r="G6" s="9" t="s">
        <v>421</v>
      </c>
      <c r="H6" s="9" t="s">
        <v>422</v>
      </c>
      <c r="I6" s="9" t="s">
        <v>423</v>
      </c>
      <c r="J6" s="9" t="s">
        <v>424</v>
      </c>
      <c r="K6" s="9" t="s">
        <v>425</v>
      </c>
      <c r="L6" s="9"/>
      <c r="M6" s="9"/>
      <c r="N6" s="9"/>
      <c r="O6" s="9"/>
    </row>
    <row r="7" spans="1:15" x14ac:dyDescent="0.35">
      <c r="A7" s="8" t="s">
        <v>407</v>
      </c>
      <c r="B7" s="15">
        <v>0.26</v>
      </c>
      <c r="C7" s="15">
        <v>0.33</v>
      </c>
      <c r="D7" s="15">
        <v>0.15</v>
      </c>
      <c r="E7" s="15">
        <v>0.22</v>
      </c>
      <c r="F7" s="15">
        <v>0.28000000000000003</v>
      </c>
      <c r="G7" s="15">
        <v>0.05</v>
      </c>
      <c r="H7" s="15">
        <v>0.15</v>
      </c>
      <c r="I7" s="15">
        <v>0.06</v>
      </c>
      <c r="J7" s="15">
        <v>0.01</v>
      </c>
      <c r="K7" s="15">
        <v>0</v>
      </c>
      <c r="L7" s="15"/>
      <c r="M7" s="15"/>
      <c r="N7" s="15"/>
      <c r="O7" s="15"/>
    </row>
    <row r="8" spans="1:15" x14ac:dyDescent="0.35">
      <c r="A8" s="11" t="s">
        <v>408</v>
      </c>
      <c r="B8" s="16">
        <v>0.15</v>
      </c>
      <c r="C8" s="16">
        <v>0.03</v>
      </c>
      <c r="D8" s="16">
        <v>0.17</v>
      </c>
      <c r="E8" s="16">
        <v>0.28000000000000003</v>
      </c>
      <c r="F8" s="16">
        <v>0.12</v>
      </c>
      <c r="G8" s="16">
        <v>0.17</v>
      </c>
      <c r="H8" s="16">
        <v>0.19</v>
      </c>
      <c r="I8" s="16">
        <v>0.11</v>
      </c>
      <c r="J8" s="16">
        <v>0.06</v>
      </c>
      <c r="K8" s="16">
        <v>0.05</v>
      </c>
      <c r="L8" s="16"/>
      <c r="M8" s="16"/>
      <c r="N8" s="16"/>
      <c r="O8" s="16"/>
    </row>
    <row r="9" spans="1:15" x14ac:dyDescent="0.35">
      <c r="A9" s="11" t="s">
        <v>409</v>
      </c>
      <c r="B9" s="16">
        <v>0.13</v>
      </c>
      <c r="C9" s="16">
        <v>0.22</v>
      </c>
      <c r="D9" s="16">
        <v>0.18</v>
      </c>
      <c r="E9" s="16">
        <v>0.12</v>
      </c>
      <c r="F9" s="16">
        <v>0.15</v>
      </c>
      <c r="G9" s="16">
        <v>0.31</v>
      </c>
      <c r="H9" s="16">
        <v>0.14000000000000001</v>
      </c>
      <c r="I9" s="16">
        <v>0.26</v>
      </c>
      <c r="J9" s="16">
        <v>0.25</v>
      </c>
      <c r="K9" s="16">
        <v>0.12</v>
      </c>
      <c r="L9" s="16"/>
      <c r="M9" s="16"/>
      <c r="N9" s="16"/>
      <c r="O9" s="16"/>
    </row>
    <row r="10" spans="1:15" x14ac:dyDescent="0.35">
      <c r="A10" s="11" t="s">
        <v>410</v>
      </c>
      <c r="B10" s="16">
        <v>0.28000000000000003</v>
      </c>
      <c r="C10" s="16">
        <v>0.06</v>
      </c>
      <c r="D10" s="16">
        <v>0.17</v>
      </c>
      <c r="E10" s="16">
        <v>0.13</v>
      </c>
      <c r="F10" s="16">
        <v>0.1</v>
      </c>
      <c r="G10" s="16">
        <v>0.13</v>
      </c>
      <c r="H10" s="16">
        <v>0.13</v>
      </c>
      <c r="I10" s="16">
        <v>0.23</v>
      </c>
      <c r="J10" s="16">
        <v>0.3</v>
      </c>
      <c r="K10" s="16">
        <v>0.43</v>
      </c>
      <c r="L10" s="16"/>
      <c r="M10" s="16"/>
      <c r="N10" s="16"/>
      <c r="O10" s="16"/>
    </row>
    <row r="11" spans="1:15" x14ac:dyDescent="0.35">
      <c r="A11" s="11" t="s">
        <v>411</v>
      </c>
      <c r="B11" s="16">
        <v>0.13</v>
      </c>
      <c r="C11" s="16">
        <v>0.16</v>
      </c>
      <c r="D11" s="16">
        <v>0.11</v>
      </c>
      <c r="E11" s="16">
        <v>0.12</v>
      </c>
      <c r="F11" s="16">
        <v>0.17</v>
      </c>
      <c r="G11" s="16">
        <v>0.2</v>
      </c>
      <c r="H11" s="16">
        <v>0.18</v>
      </c>
      <c r="I11" s="16">
        <v>0.22</v>
      </c>
      <c r="J11" s="16">
        <v>0.22</v>
      </c>
      <c r="K11" s="16">
        <v>0.25</v>
      </c>
      <c r="L11" s="16"/>
      <c r="M11" s="16"/>
      <c r="N11" s="16"/>
      <c r="O11" s="16"/>
    </row>
    <row r="12" spans="1:15" x14ac:dyDescent="0.35">
      <c r="A12" s="11" t="s">
        <v>412</v>
      </c>
      <c r="B12" s="16">
        <v>0.05</v>
      </c>
      <c r="C12" s="16">
        <v>0.2</v>
      </c>
      <c r="D12" s="16">
        <v>0.23</v>
      </c>
      <c r="E12" s="16">
        <v>0.12</v>
      </c>
      <c r="F12" s="16">
        <v>0.17</v>
      </c>
      <c r="G12" s="16">
        <v>0.15</v>
      </c>
      <c r="H12" s="16">
        <v>0.2</v>
      </c>
      <c r="I12" s="16">
        <v>0.13</v>
      </c>
      <c r="J12" s="16">
        <v>0.17</v>
      </c>
      <c r="K12" s="16">
        <v>0.15</v>
      </c>
      <c r="L12" s="16"/>
      <c r="M12" s="16"/>
      <c r="N12" s="16"/>
      <c r="O12" s="16"/>
    </row>
    <row r="13" spans="1:15" ht="30" customHeight="1" x14ac:dyDescent="0.4">
      <c r="A13" s="5" t="s">
        <v>39</v>
      </c>
      <c r="B13" s="16"/>
      <c r="C13" s="16"/>
      <c r="D13" s="16"/>
      <c r="E13" s="16"/>
      <c r="F13" s="16"/>
      <c r="G13" s="16"/>
      <c r="H13" s="16"/>
      <c r="I13" s="16"/>
      <c r="J13" s="16"/>
      <c r="K13" s="16"/>
      <c r="L13" s="16"/>
      <c r="M13" s="16"/>
      <c r="N13" s="16"/>
      <c r="O13" s="16"/>
    </row>
    <row r="14" spans="1:15" x14ac:dyDescent="0.35">
      <c r="A14" s="11" t="s">
        <v>386</v>
      </c>
      <c r="B14" s="16" t="s">
        <v>416</v>
      </c>
      <c r="C14" s="16" t="s">
        <v>417</v>
      </c>
      <c r="D14" s="16" t="s">
        <v>418</v>
      </c>
      <c r="E14" s="16" t="s">
        <v>419</v>
      </c>
      <c r="F14" s="16" t="s">
        <v>420</v>
      </c>
      <c r="G14" s="16" t="s">
        <v>421</v>
      </c>
      <c r="H14" s="16" t="s">
        <v>422</v>
      </c>
      <c r="I14" s="16" t="s">
        <v>423</v>
      </c>
      <c r="J14" s="16" t="s">
        <v>424</v>
      </c>
      <c r="K14" s="16" t="s">
        <v>425</v>
      </c>
      <c r="L14" s="16"/>
      <c r="M14" s="16"/>
      <c r="N14" s="16"/>
      <c r="O14" s="16"/>
    </row>
    <row r="15" spans="1:15" x14ac:dyDescent="0.35">
      <c r="A15" s="8" t="s">
        <v>395</v>
      </c>
      <c r="B15" s="12">
        <v>76</v>
      </c>
      <c r="C15" s="12">
        <v>62</v>
      </c>
      <c r="D15" s="12">
        <v>73</v>
      </c>
      <c r="E15" s="12">
        <v>93</v>
      </c>
      <c r="F15" s="12">
        <v>102</v>
      </c>
      <c r="G15" s="12">
        <v>141</v>
      </c>
      <c r="H15" s="12">
        <v>148</v>
      </c>
      <c r="I15" s="12">
        <v>123</v>
      </c>
      <c r="J15" s="12">
        <v>181</v>
      </c>
      <c r="K15" s="12">
        <v>230</v>
      </c>
      <c r="L15" s="12"/>
      <c r="M15" s="12"/>
      <c r="N15" s="12"/>
      <c r="O15" s="12"/>
    </row>
    <row r="16" spans="1:15" x14ac:dyDescent="0.35">
      <c r="A16" s="11"/>
      <c r="B16" s="13"/>
      <c r="C16" s="13"/>
      <c r="D16" s="13"/>
      <c r="E16" s="13"/>
      <c r="F16" s="13"/>
      <c r="G16" s="13"/>
      <c r="H16" s="13"/>
      <c r="I16" s="13"/>
      <c r="J16" s="13"/>
      <c r="K16" s="13"/>
      <c r="L16" s="13"/>
      <c r="M16" s="13"/>
      <c r="N16" s="13"/>
      <c r="O16" s="13"/>
    </row>
    <row r="17" spans="1:15" x14ac:dyDescent="0.35">
      <c r="A17" s="11"/>
      <c r="B17" s="13"/>
      <c r="C17" s="13"/>
      <c r="D17" s="13"/>
      <c r="E17" s="13"/>
      <c r="F17" s="13"/>
      <c r="G17" s="13"/>
      <c r="H17" s="13"/>
      <c r="I17" s="13"/>
      <c r="J17" s="13"/>
      <c r="K17" s="13"/>
      <c r="L17" s="13"/>
      <c r="M17" s="13"/>
      <c r="N17" s="13"/>
      <c r="O17" s="13"/>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44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43</v>
      </c>
      <c r="B5" s="9"/>
      <c r="C5" s="9"/>
      <c r="D5" s="9"/>
      <c r="E5" s="9"/>
      <c r="F5" s="9"/>
      <c r="G5" s="9"/>
      <c r="H5" s="9"/>
      <c r="I5" s="9"/>
      <c r="J5" s="9"/>
      <c r="K5" s="9"/>
      <c r="L5" s="9"/>
      <c r="M5" s="9"/>
      <c r="N5" s="9"/>
      <c r="O5" s="9"/>
    </row>
    <row r="6" spans="1:15" x14ac:dyDescent="0.35">
      <c r="A6" s="11" t="s">
        <v>469</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470</v>
      </c>
      <c r="B7" s="15">
        <v>0.65</v>
      </c>
      <c r="C7" s="15">
        <v>0.63</v>
      </c>
      <c r="D7" s="15">
        <v>0.61</v>
      </c>
      <c r="E7" s="15">
        <v>0.62</v>
      </c>
      <c r="F7" s="15">
        <v>0.6</v>
      </c>
      <c r="G7" s="15">
        <v>0.62</v>
      </c>
      <c r="H7" s="15">
        <v>0.64</v>
      </c>
      <c r="I7" s="15" t="s">
        <v>396</v>
      </c>
      <c r="J7" s="15">
        <v>0.59</v>
      </c>
      <c r="K7" s="15"/>
      <c r="L7" s="15"/>
      <c r="M7" s="15"/>
      <c r="N7" s="15"/>
      <c r="O7" s="15"/>
    </row>
    <row r="8" spans="1:15" ht="30" customHeight="1" x14ac:dyDescent="0.4">
      <c r="A8" s="5" t="s">
        <v>42</v>
      </c>
      <c r="B8" s="16"/>
      <c r="C8" s="16"/>
      <c r="D8" s="16"/>
      <c r="E8" s="16"/>
      <c r="F8" s="16"/>
      <c r="G8" s="16"/>
      <c r="H8" s="16"/>
      <c r="I8" s="16"/>
      <c r="J8" s="16"/>
      <c r="K8" s="16"/>
      <c r="L8" s="16"/>
      <c r="M8" s="16"/>
      <c r="N8" s="16"/>
      <c r="O8" s="16"/>
    </row>
    <row r="9" spans="1:15" x14ac:dyDescent="0.35">
      <c r="A9" s="11" t="s">
        <v>386</v>
      </c>
      <c r="B9" s="16" t="s">
        <v>387</v>
      </c>
      <c r="C9" s="16" t="s">
        <v>388</v>
      </c>
      <c r="D9" s="16" t="s">
        <v>389</v>
      </c>
      <c r="E9" s="16" t="s">
        <v>390</v>
      </c>
      <c r="F9" s="16" t="s">
        <v>391</v>
      </c>
      <c r="G9" s="16" t="s">
        <v>392</v>
      </c>
      <c r="H9" s="16" t="s">
        <v>393</v>
      </c>
      <c r="I9" s="16" t="s">
        <v>381</v>
      </c>
      <c r="J9" s="16" t="s">
        <v>394</v>
      </c>
      <c r="K9" s="16"/>
      <c r="L9" s="16"/>
      <c r="M9" s="16"/>
      <c r="N9" s="16"/>
      <c r="O9" s="16"/>
    </row>
    <row r="10" spans="1:15" x14ac:dyDescent="0.35">
      <c r="A10" s="8" t="s">
        <v>395</v>
      </c>
      <c r="B10" s="12">
        <v>1599</v>
      </c>
      <c r="C10" s="12">
        <v>1995</v>
      </c>
      <c r="D10" s="12">
        <v>2069</v>
      </c>
      <c r="E10" s="12">
        <v>1890</v>
      </c>
      <c r="F10" s="12">
        <v>1696</v>
      </c>
      <c r="G10" s="12">
        <v>1607</v>
      </c>
      <c r="H10" s="12">
        <v>1514</v>
      </c>
      <c r="I10" s="12" t="s">
        <v>381</v>
      </c>
      <c r="J10" s="12">
        <v>1229</v>
      </c>
      <c r="K10" s="12"/>
      <c r="L10" s="12"/>
      <c r="M10" s="12"/>
      <c r="N10" s="12"/>
      <c r="O10" s="12"/>
    </row>
    <row r="11" spans="1:15" x14ac:dyDescent="0.35">
      <c r="A11" s="11"/>
      <c r="B11" s="13"/>
      <c r="C11" s="13"/>
      <c r="D11" s="13"/>
      <c r="E11" s="13"/>
      <c r="F11" s="13"/>
      <c r="G11" s="13"/>
      <c r="H11" s="13"/>
      <c r="I11" s="13"/>
      <c r="J11" s="13"/>
      <c r="K11" s="13"/>
      <c r="L11" s="13"/>
      <c r="M11" s="13"/>
      <c r="N11" s="13"/>
      <c r="O11" s="13"/>
    </row>
    <row r="12" spans="1:15" x14ac:dyDescent="0.35">
      <c r="A12" s="11"/>
      <c r="B12" s="13"/>
      <c r="C12" s="13"/>
      <c r="D12" s="13"/>
      <c r="E12" s="13"/>
      <c r="F12" s="13"/>
      <c r="G12" s="13"/>
      <c r="H12" s="13"/>
      <c r="I12" s="13"/>
      <c r="J12" s="13"/>
      <c r="K12" s="13"/>
      <c r="L12" s="13"/>
      <c r="M12" s="13"/>
      <c r="N12" s="13"/>
      <c r="O12" s="13"/>
    </row>
    <row r="13" spans="1:15" x14ac:dyDescent="0.35">
      <c r="A13" s="11"/>
      <c r="B13" s="9"/>
      <c r="C13" s="9"/>
      <c r="D13" s="9"/>
      <c r="E13" s="9"/>
      <c r="F13" s="9"/>
      <c r="G13" s="9"/>
      <c r="H13" s="9"/>
      <c r="I13" s="9"/>
      <c r="J13" s="9"/>
      <c r="K13" s="9"/>
      <c r="L13" s="9"/>
      <c r="M13" s="9"/>
      <c r="N13" s="9"/>
      <c r="O13" s="9"/>
    </row>
    <row r="14" spans="1:15" x14ac:dyDescent="0.35">
      <c r="A14" s="11"/>
      <c r="B14" s="9"/>
      <c r="C14" s="9"/>
      <c r="D14" s="9"/>
      <c r="E14" s="9"/>
      <c r="F14" s="9"/>
      <c r="G14" s="9"/>
      <c r="H14" s="9"/>
      <c r="I14" s="9"/>
      <c r="J14" s="9"/>
      <c r="K14" s="9"/>
      <c r="L14" s="9"/>
      <c r="M14" s="9"/>
      <c r="N14" s="9"/>
      <c r="O14" s="9"/>
    </row>
    <row r="15" spans="1:15" x14ac:dyDescent="0.35">
      <c r="A15" s="11"/>
      <c r="B15" s="9"/>
      <c r="C15" s="9"/>
      <c r="D15" s="9"/>
      <c r="E15" s="9"/>
      <c r="F15" s="9"/>
      <c r="G15" s="9"/>
      <c r="H15" s="9"/>
      <c r="I15" s="9"/>
      <c r="J15" s="9"/>
      <c r="K15" s="9"/>
      <c r="L15" s="9"/>
      <c r="M15" s="9"/>
      <c r="N15" s="9"/>
      <c r="O15" s="9"/>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47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46</v>
      </c>
      <c r="B5" s="9"/>
      <c r="C5" s="9"/>
      <c r="D5" s="9"/>
      <c r="E5" s="9"/>
      <c r="F5" s="9"/>
      <c r="G5" s="9"/>
      <c r="H5" s="9"/>
      <c r="I5" s="9"/>
      <c r="J5" s="9"/>
      <c r="K5" s="9"/>
      <c r="L5" s="9"/>
      <c r="M5" s="9"/>
      <c r="N5" s="9"/>
      <c r="O5" s="9"/>
    </row>
    <row r="6" spans="1:15" x14ac:dyDescent="0.35">
      <c r="A6" s="11" t="s">
        <v>469</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471</v>
      </c>
      <c r="B7" s="12">
        <v>11.6</v>
      </c>
      <c r="C7" s="12">
        <v>10.1</v>
      </c>
      <c r="D7" s="12">
        <v>8.8000000000000007</v>
      </c>
      <c r="E7" s="12">
        <v>9.6999999999999993</v>
      </c>
      <c r="F7" s="12">
        <v>8.5</v>
      </c>
      <c r="G7" s="12">
        <v>9.1</v>
      </c>
      <c r="H7" s="12">
        <v>10.8</v>
      </c>
      <c r="I7" s="12" t="s">
        <v>396</v>
      </c>
      <c r="J7" s="12">
        <v>7.6</v>
      </c>
      <c r="K7" s="12"/>
      <c r="L7" s="12"/>
      <c r="M7" s="12"/>
      <c r="N7" s="12"/>
      <c r="O7" s="12"/>
    </row>
    <row r="8" spans="1:15" ht="30" customHeight="1" x14ac:dyDescent="0.4">
      <c r="A8" s="5" t="s">
        <v>45</v>
      </c>
      <c r="B8" s="13"/>
      <c r="C8" s="13"/>
      <c r="D8" s="13"/>
      <c r="E8" s="13"/>
      <c r="F8" s="13"/>
      <c r="G8" s="13"/>
      <c r="H8" s="13"/>
      <c r="I8" s="13"/>
      <c r="J8" s="13"/>
      <c r="K8" s="13"/>
      <c r="L8" s="13"/>
      <c r="M8" s="13"/>
      <c r="N8" s="13"/>
      <c r="O8" s="13"/>
    </row>
    <row r="9" spans="1:15" x14ac:dyDescent="0.35">
      <c r="A9" s="11" t="s">
        <v>386</v>
      </c>
      <c r="B9" s="13" t="s">
        <v>387</v>
      </c>
      <c r="C9" s="13" t="s">
        <v>388</v>
      </c>
      <c r="D9" s="13" t="s">
        <v>389</v>
      </c>
      <c r="E9" s="13" t="s">
        <v>390</v>
      </c>
      <c r="F9" s="13" t="s">
        <v>391</v>
      </c>
      <c r="G9" s="13" t="s">
        <v>392</v>
      </c>
      <c r="H9" s="13" t="s">
        <v>393</v>
      </c>
      <c r="I9" s="13" t="s">
        <v>381</v>
      </c>
      <c r="J9" s="13" t="s">
        <v>394</v>
      </c>
      <c r="K9" s="13"/>
      <c r="L9" s="13"/>
      <c r="M9" s="13"/>
      <c r="N9" s="13"/>
      <c r="O9" s="13"/>
    </row>
    <row r="10" spans="1:15" x14ac:dyDescent="0.35">
      <c r="A10" s="8" t="s">
        <v>395</v>
      </c>
      <c r="B10" s="12">
        <v>1599</v>
      </c>
      <c r="C10" s="12">
        <v>1995</v>
      </c>
      <c r="D10" s="12">
        <v>2069</v>
      </c>
      <c r="E10" s="12">
        <v>1890</v>
      </c>
      <c r="F10" s="12">
        <v>1696</v>
      </c>
      <c r="G10" s="12">
        <v>1607</v>
      </c>
      <c r="H10" s="12">
        <v>1514</v>
      </c>
      <c r="I10" s="12" t="s">
        <v>381</v>
      </c>
      <c r="J10" s="12">
        <v>1229</v>
      </c>
      <c r="K10" s="12"/>
      <c r="L10" s="12"/>
      <c r="M10" s="12"/>
      <c r="N10" s="12"/>
      <c r="O10" s="12"/>
    </row>
    <row r="11" spans="1:15" x14ac:dyDescent="0.35">
      <c r="A11" s="11"/>
      <c r="B11" s="13"/>
      <c r="C11" s="13"/>
      <c r="D11" s="13"/>
      <c r="E11" s="13"/>
      <c r="F11" s="13"/>
      <c r="G11" s="13"/>
      <c r="H11" s="13"/>
      <c r="I11" s="13"/>
      <c r="J11" s="13"/>
      <c r="K11" s="13"/>
      <c r="L11" s="13"/>
      <c r="M11" s="13"/>
      <c r="N11" s="13"/>
      <c r="O11" s="13"/>
    </row>
    <row r="12" spans="1:15" x14ac:dyDescent="0.35">
      <c r="A12" s="11"/>
      <c r="B12" s="13"/>
      <c r="C12" s="13"/>
      <c r="D12" s="13"/>
      <c r="E12" s="13"/>
      <c r="F12" s="13"/>
      <c r="G12" s="13"/>
      <c r="H12" s="13"/>
      <c r="I12" s="13"/>
      <c r="J12" s="13"/>
      <c r="K12" s="13"/>
      <c r="L12" s="13"/>
      <c r="M12" s="13"/>
      <c r="N12" s="13"/>
      <c r="O12" s="13"/>
    </row>
    <row r="13" spans="1:15" x14ac:dyDescent="0.35">
      <c r="A13" s="11"/>
      <c r="B13" s="9"/>
      <c r="C13" s="9"/>
      <c r="D13" s="9"/>
      <c r="E13" s="9"/>
      <c r="F13" s="9"/>
      <c r="G13" s="9"/>
      <c r="H13" s="9"/>
      <c r="I13" s="9"/>
      <c r="J13" s="9"/>
      <c r="K13" s="9"/>
      <c r="L13" s="9"/>
      <c r="M13" s="9"/>
      <c r="N13" s="9"/>
      <c r="O13" s="9"/>
    </row>
    <row r="14" spans="1:15" x14ac:dyDescent="0.35">
      <c r="A14" s="11"/>
      <c r="B14" s="9"/>
      <c r="C14" s="9"/>
      <c r="D14" s="9"/>
      <c r="E14" s="9"/>
      <c r="F14" s="9"/>
      <c r="G14" s="9"/>
      <c r="H14" s="9"/>
      <c r="I14" s="9"/>
      <c r="J14" s="9"/>
      <c r="K14" s="9"/>
      <c r="L14" s="9"/>
      <c r="M14" s="9"/>
      <c r="N14" s="9"/>
      <c r="O14" s="9"/>
    </row>
    <row r="15" spans="1:15" x14ac:dyDescent="0.35">
      <c r="A15" s="11"/>
      <c r="B15" s="9"/>
      <c r="C15" s="9"/>
      <c r="D15" s="9"/>
      <c r="E15" s="9"/>
      <c r="F15" s="9"/>
      <c r="G15" s="9"/>
      <c r="H15" s="9"/>
      <c r="I15" s="9"/>
      <c r="J15" s="9"/>
      <c r="K15" s="9"/>
      <c r="L15" s="9"/>
      <c r="M15" s="9"/>
      <c r="N15" s="9"/>
      <c r="O15" s="9"/>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50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49</v>
      </c>
      <c r="B5" s="9"/>
      <c r="C5" s="9"/>
      <c r="D5" s="9"/>
      <c r="E5" s="9"/>
      <c r="F5" s="9"/>
      <c r="G5" s="9"/>
      <c r="H5" s="9"/>
      <c r="I5" s="9"/>
      <c r="J5" s="9"/>
      <c r="K5" s="9"/>
      <c r="L5" s="9"/>
      <c r="M5" s="9"/>
      <c r="N5" s="9"/>
      <c r="O5" s="9"/>
    </row>
    <row r="6" spans="1:15" x14ac:dyDescent="0.35">
      <c r="A6" s="11" t="s">
        <v>472</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473</v>
      </c>
      <c r="B7" s="15">
        <v>0.04</v>
      </c>
      <c r="C7" s="15">
        <v>0.05</v>
      </c>
      <c r="D7" s="15">
        <v>0.05</v>
      </c>
      <c r="E7" s="15">
        <v>0.05</v>
      </c>
      <c r="F7" s="15">
        <v>0.05</v>
      </c>
      <c r="G7" s="15">
        <v>0.05</v>
      </c>
      <c r="H7" s="15">
        <v>0.04</v>
      </c>
      <c r="I7" s="15" t="s">
        <v>396</v>
      </c>
      <c r="J7" s="15">
        <v>0.05</v>
      </c>
      <c r="K7" s="15"/>
      <c r="L7" s="15"/>
      <c r="M7" s="15"/>
      <c r="N7" s="15"/>
      <c r="O7" s="15"/>
    </row>
    <row r="8" spans="1:15" x14ac:dyDescent="0.35">
      <c r="A8" s="11" t="s">
        <v>474</v>
      </c>
      <c r="B8" s="16">
        <v>0.17</v>
      </c>
      <c r="C8" s="16">
        <v>0.14000000000000001</v>
      </c>
      <c r="D8" s="16">
        <v>0.11</v>
      </c>
      <c r="E8" s="16">
        <v>0.09</v>
      </c>
      <c r="F8" s="16">
        <v>0.09</v>
      </c>
      <c r="G8" s="16">
        <v>0.1</v>
      </c>
      <c r="H8" s="16">
        <v>0.13</v>
      </c>
      <c r="I8" s="16" t="s">
        <v>396</v>
      </c>
      <c r="J8" s="16">
        <v>0.1</v>
      </c>
      <c r="K8" s="16"/>
      <c r="L8" s="16"/>
      <c r="M8" s="16"/>
      <c r="N8" s="16"/>
      <c r="O8" s="16"/>
    </row>
    <row r="9" spans="1:15" x14ac:dyDescent="0.35">
      <c r="A9" s="11" t="s">
        <v>475</v>
      </c>
      <c r="B9" s="16">
        <v>0.49</v>
      </c>
      <c r="C9" s="16">
        <v>0.46</v>
      </c>
      <c r="D9" s="16">
        <v>0.44</v>
      </c>
      <c r="E9" s="16">
        <v>0.44</v>
      </c>
      <c r="F9" s="16">
        <v>0.42</v>
      </c>
      <c r="G9" s="16">
        <v>0.42</v>
      </c>
      <c r="H9" s="16">
        <v>0.45</v>
      </c>
      <c r="I9" s="16" t="s">
        <v>396</v>
      </c>
      <c r="J9" s="16">
        <v>0.4</v>
      </c>
      <c r="K9" s="16"/>
      <c r="L9" s="16"/>
      <c r="M9" s="16"/>
      <c r="N9" s="16"/>
      <c r="O9" s="16"/>
    </row>
    <row r="10" spans="1:15" x14ac:dyDescent="0.35">
      <c r="A10" s="11" t="s">
        <v>476</v>
      </c>
      <c r="B10" s="16">
        <v>0.47</v>
      </c>
      <c r="C10" s="16">
        <v>0.49</v>
      </c>
      <c r="D10" s="16">
        <v>0.52</v>
      </c>
      <c r="E10" s="16">
        <v>0.52</v>
      </c>
      <c r="F10" s="16">
        <v>0.54</v>
      </c>
      <c r="G10" s="16">
        <v>0.53</v>
      </c>
      <c r="H10" s="16">
        <v>0.51</v>
      </c>
      <c r="I10" s="16" t="s">
        <v>396</v>
      </c>
      <c r="J10" s="16">
        <v>0.55000000000000004</v>
      </c>
      <c r="K10" s="16"/>
      <c r="L10" s="16"/>
      <c r="M10" s="16"/>
      <c r="N10" s="16"/>
      <c r="O10" s="16"/>
    </row>
    <row r="11" spans="1:15" ht="30" customHeight="1" x14ac:dyDescent="0.4">
      <c r="A11" s="5" t="s">
        <v>48</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381</v>
      </c>
      <c r="J12" s="16" t="s">
        <v>394</v>
      </c>
      <c r="K12" s="16"/>
      <c r="L12" s="16"/>
      <c r="M12" s="16"/>
      <c r="N12" s="16"/>
      <c r="O12" s="16"/>
    </row>
    <row r="13" spans="1:15" x14ac:dyDescent="0.35">
      <c r="A13" s="8" t="s">
        <v>395</v>
      </c>
      <c r="B13" s="12">
        <v>1599</v>
      </c>
      <c r="C13" s="12">
        <v>1995</v>
      </c>
      <c r="D13" s="12">
        <v>2069</v>
      </c>
      <c r="E13" s="12">
        <v>1890</v>
      </c>
      <c r="F13" s="12">
        <v>1696</v>
      </c>
      <c r="G13" s="12">
        <v>1607</v>
      </c>
      <c r="H13" s="12">
        <v>1514</v>
      </c>
      <c r="I13" s="12" t="s">
        <v>381</v>
      </c>
      <c r="J13" s="12">
        <v>1229</v>
      </c>
      <c r="K13" s="12"/>
      <c r="L13" s="12"/>
      <c r="M13" s="12"/>
      <c r="N13" s="12"/>
      <c r="O13" s="12"/>
    </row>
    <row r="14" spans="1:15" x14ac:dyDescent="0.35">
      <c r="A14" s="11"/>
      <c r="B14" s="13"/>
      <c r="C14" s="13"/>
      <c r="D14" s="13"/>
      <c r="E14" s="13"/>
      <c r="F14" s="13"/>
      <c r="G14" s="13"/>
      <c r="H14" s="13"/>
      <c r="I14" s="13"/>
      <c r="J14" s="13"/>
      <c r="K14" s="13"/>
      <c r="L14" s="13"/>
      <c r="M14" s="13"/>
      <c r="N14" s="13"/>
      <c r="O14" s="13"/>
    </row>
    <row r="15" spans="1:15" x14ac:dyDescent="0.35">
      <c r="A15" s="11"/>
      <c r="B15" s="13"/>
      <c r="C15" s="13"/>
      <c r="D15" s="13"/>
      <c r="E15" s="13"/>
      <c r="F15" s="13"/>
      <c r="G15" s="13"/>
      <c r="H15" s="13"/>
      <c r="I15" s="13"/>
      <c r="J15" s="13"/>
      <c r="K15" s="13"/>
      <c r="L15" s="13"/>
      <c r="M15" s="13"/>
      <c r="N15" s="13"/>
      <c r="O15" s="13"/>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53</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52</v>
      </c>
      <c r="B5" s="9"/>
      <c r="C5" s="9"/>
      <c r="D5" s="9"/>
      <c r="E5" s="9"/>
      <c r="F5" s="9"/>
      <c r="G5" s="9"/>
      <c r="H5" s="9"/>
      <c r="I5" s="9"/>
      <c r="J5" s="9"/>
      <c r="K5" s="9"/>
      <c r="L5" s="9"/>
      <c r="M5" s="9"/>
      <c r="N5" s="9"/>
      <c r="O5" s="9"/>
    </row>
    <row r="6" spans="1:15" x14ac:dyDescent="0.35">
      <c r="A6" s="11" t="s">
        <v>469</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477</v>
      </c>
      <c r="B7" s="12">
        <v>1259000</v>
      </c>
      <c r="C7" s="12">
        <v>1248500</v>
      </c>
      <c r="D7" s="12">
        <v>1248000</v>
      </c>
      <c r="E7" s="12">
        <v>1511300</v>
      </c>
      <c r="F7" s="12">
        <v>1554400</v>
      </c>
      <c r="G7" s="12">
        <v>1729700</v>
      </c>
      <c r="H7" s="12">
        <v>1679500</v>
      </c>
      <c r="I7" s="12" t="s">
        <v>396</v>
      </c>
      <c r="J7" s="12">
        <v>1278100</v>
      </c>
      <c r="K7" s="12"/>
      <c r="L7" s="12"/>
      <c r="M7" s="12"/>
      <c r="N7" s="12"/>
      <c r="O7" s="12"/>
    </row>
    <row r="8" spans="1:15" ht="30" customHeight="1" x14ac:dyDescent="0.4">
      <c r="A8" s="5" t="s">
        <v>51</v>
      </c>
      <c r="B8" s="13"/>
      <c r="C8" s="13"/>
      <c r="D8" s="13"/>
      <c r="E8" s="13"/>
      <c r="F8" s="13"/>
      <c r="G8" s="13"/>
      <c r="H8" s="13"/>
      <c r="I8" s="13"/>
      <c r="J8" s="13"/>
      <c r="K8" s="13"/>
      <c r="L8" s="13"/>
      <c r="M8" s="13"/>
      <c r="N8" s="13"/>
      <c r="O8" s="13"/>
    </row>
    <row r="9" spans="1:15" x14ac:dyDescent="0.35">
      <c r="A9" s="11" t="s">
        <v>386</v>
      </c>
      <c r="B9" s="13" t="s">
        <v>387</v>
      </c>
      <c r="C9" s="13" t="s">
        <v>388</v>
      </c>
      <c r="D9" s="13" t="s">
        <v>389</v>
      </c>
      <c r="E9" s="13" t="s">
        <v>390</v>
      </c>
      <c r="F9" s="13" t="s">
        <v>391</v>
      </c>
      <c r="G9" s="13" t="s">
        <v>392</v>
      </c>
      <c r="H9" s="13" t="s">
        <v>393</v>
      </c>
      <c r="I9" s="13" t="s">
        <v>381</v>
      </c>
      <c r="J9" s="13" t="s">
        <v>394</v>
      </c>
      <c r="K9" s="13"/>
      <c r="L9" s="13"/>
      <c r="M9" s="13"/>
      <c r="N9" s="13"/>
      <c r="O9" s="13"/>
    </row>
    <row r="10" spans="1:15" x14ac:dyDescent="0.35">
      <c r="A10" s="8" t="s">
        <v>395</v>
      </c>
      <c r="B10" s="12">
        <v>1599</v>
      </c>
      <c r="C10" s="12">
        <v>1995</v>
      </c>
      <c r="D10" s="12">
        <v>2069</v>
      </c>
      <c r="E10" s="12">
        <v>1890</v>
      </c>
      <c r="F10" s="12">
        <v>1696</v>
      </c>
      <c r="G10" s="12">
        <v>1607</v>
      </c>
      <c r="H10" s="12">
        <v>1514</v>
      </c>
      <c r="I10" s="12" t="s">
        <v>381</v>
      </c>
      <c r="J10" s="12">
        <v>1229</v>
      </c>
      <c r="K10" s="12"/>
      <c r="L10" s="12"/>
      <c r="M10" s="12"/>
      <c r="N10" s="12"/>
      <c r="O10" s="12"/>
    </row>
    <row r="11" spans="1:15" x14ac:dyDescent="0.35">
      <c r="A11" s="11"/>
      <c r="B11" s="13"/>
      <c r="C11" s="13"/>
      <c r="D11" s="13"/>
      <c r="E11" s="13"/>
      <c r="F11" s="13"/>
      <c r="G11" s="13"/>
      <c r="H11" s="13"/>
      <c r="I11" s="13"/>
      <c r="J11" s="13"/>
      <c r="K11" s="13"/>
      <c r="L11" s="13"/>
      <c r="M11" s="13"/>
      <c r="N11" s="13"/>
      <c r="O11" s="13"/>
    </row>
    <row r="12" spans="1:15" x14ac:dyDescent="0.35">
      <c r="A12" s="11"/>
      <c r="B12" s="13"/>
      <c r="C12" s="13"/>
      <c r="D12" s="13"/>
      <c r="E12" s="13"/>
      <c r="F12" s="13"/>
      <c r="G12" s="13"/>
      <c r="H12" s="13"/>
      <c r="I12" s="13"/>
      <c r="J12" s="13"/>
      <c r="K12" s="13"/>
      <c r="L12" s="13"/>
      <c r="M12" s="13"/>
      <c r="N12" s="13"/>
      <c r="O12" s="13"/>
    </row>
    <row r="13" spans="1:15" x14ac:dyDescent="0.35">
      <c r="A13" s="11"/>
      <c r="B13" s="9"/>
      <c r="C13" s="9"/>
      <c r="D13" s="9"/>
      <c r="E13" s="9"/>
      <c r="F13" s="9"/>
      <c r="G13" s="9"/>
      <c r="H13" s="9"/>
      <c r="I13" s="9"/>
      <c r="J13" s="9"/>
      <c r="K13" s="9"/>
      <c r="L13" s="9"/>
      <c r="M13" s="9"/>
      <c r="N13" s="9"/>
      <c r="O13" s="9"/>
    </row>
    <row r="14" spans="1:15" x14ac:dyDescent="0.35">
      <c r="A14" s="11"/>
      <c r="B14" s="9"/>
      <c r="C14" s="9"/>
      <c r="D14" s="9"/>
      <c r="E14" s="9"/>
      <c r="F14" s="9"/>
      <c r="G14" s="9"/>
      <c r="H14" s="9"/>
      <c r="I14" s="9"/>
      <c r="J14" s="9"/>
      <c r="K14" s="9"/>
      <c r="L14" s="9"/>
      <c r="M14" s="9"/>
      <c r="N14" s="9"/>
      <c r="O14" s="9"/>
    </row>
    <row r="15" spans="1:15" x14ac:dyDescent="0.35">
      <c r="A15" s="11"/>
      <c r="B15" s="9"/>
      <c r="C15" s="9"/>
      <c r="D15" s="9"/>
      <c r="E15" s="9"/>
      <c r="F15" s="9"/>
      <c r="G15" s="9"/>
      <c r="H15" s="9"/>
      <c r="I15" s="9"/>
      <c r="J15" s="9"/>
      <c r="K15" s="9"/>
      <c r="L15" s="9"/>
      <c r="M15" s="9"/>
      <c r="N15" s="9"/>
      <c r="O15" s="9"/>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56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ht="29" x14ac:dyDescent="0.35">
      <c r="A4" s="8" t="s">
        <v>478</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55</v>
      </c>
      <c r="B6" s="9"/>
      <c r="C6" s="9"/>
      <c r="D6" s="9"/>
      <c r="E6" s="9"/>
      <c r="F6" s="9"/>
      <c r="G6" s="9"/>
      <c r="H6" s="9"/>
      <c r="I6" s="9"/>
      <c r="J6" s="9"/>
      <c r="K6" s="9"/>
      <c r="L6" s="9"/>
      <c r="M6" s="9"/>
      <c r="N6" s="9"/>
      <c r="O6" s="9"/>
    </row>
    <row r="7" spans="1:15" x14ac:dyDescent="0.35">
      <c r="A7" s="11" t="s">
        <v>398</v>
      </c>
      <c r="B7" s="9" t="s">
        <v>387</v>
      </c>
      <c r="C7" s="9" t="s">
        <v>388</v>
      </c>
      <c r="D7" s="9" t="s">
        <v>389</v>
      </c>
      <c r="E7" s="9" t="s">
        <v>390</v>
      </c>
      <c r="F7" s="9" t="s">
        <v>391</v>
      </c>
      <c r="G7" s="9" t="s">
        <v>392</v>
      </c>
      <c r="H7" s="9" t="s">
        <v>393</v>
      </c>
      <c r="I7" s="9" t="s">
        <v>381</v>
      </c>
      <c r="J7" s="9" t="s">
        <v>394</v>
      </c>
      <c r="K7" s="9"/>
      <c r="L7" s="9"/>
      <c r="M7" s="9"/>
      <c r="N7" s="9"/>
      <c r="O7" s="9"/>
    </row>
    <row r="8" spans="1:15" x14ac:dyDescent="0.35">
      <c r="A8" s="8" t="s">
        <v>400</v>
      </c>
      <c r="B8" s="15">
        <v>0.9</v>
      </c>
      <c r="C8" s="15">
        <v>0.88</v>
      </c>
      <c r="D8" s="15">
        <v>0.92</v>
      </c>
      <c r="E8" s="15">
        <v>0.89</v>
      </c>
      <c r="F8" s="15">
        <v>0.88</v>
      </c>
      <c r="G8" s="15">
        <v>0.88</v>
      </c>
      <c r="H8" s="15">
        <v>0.86</v>
      </c>
      <c r="I8" s="15" t="s">
        <v>381</v>
      </c>
      <c r="J8" s="15">
        <v>0.83</v>
      </c>
      <c r="K8" s="15"/>
      <c r="L8" s="15"/>
      <c r="M8" s="15"/>
      <c r="N8" s="15"/>
      <c r="O8" s="15"/>
    </row>
    <row r="9" spans="1:15" x14ac:dyDescent="0.35">
      <c r="A9" s="11" t="s">
        <v>403</v>
      </c>
      <c r="B9" s="16">
        <v>0.79</v>
      </c>
      <c r="C9" s="16">
        <v>0.77</v>
      </c>
      <c r="D9" s="16">
        <v>0.74</v>
      </c>
      <c r="E9" s="16">
        <v>0.74</v>
      </c>
      <c r="F9" s="16">
        <v>0.71</v>
      </c>
      <c r="G9" s="16">
        <v>0.71</v>
      </c>
      <c r="H9" s="16">
        <v>0.75</v>
      </c>
      <c r="I9" s="16" t="s">
        <v>396</v>
      </c>
      <c r="J9" s="16">
        <v>0.68</v>
      </c>
      <c r="K9" s="16"/>
      <c r="L9" s="16"/>
      <c r="M9" s="16"/>
      <c r="N9" s="16"/>
      <c r="O9" s="16"/>
    </row>
    <row r="10" spans="1:15" x14ac:dyDescent="0.35">
      <c r="A10" s="11" t="s">
        <v>402</v>
      </c>
      <c r="B10" s="16">
        <v>0.65</v>
      </c>
      <c r="C10" s="16">
        <v>0.64</v>
      </c>
      <c r="D10" s="16">
        <v>0.64</v>
      </c>
      <c r="E10" s="16">
        <v>0.65</v>
      </c>
      <c r="F10" s="16">
        <v>0.65</v>
      </c>
      <c r="G10" s="16">
        <v>0.66</v>
      </c>
      <c r="H10" s="16">
        <v>0.65</v>
      </c>
      <c r="I10" s="16" t="s">
        <v>381</v>
      </c>
      <c r="J10" s="16">
        <v>0.66</v>
      </c>
      <c r="K10" s="16"/>
      <c r="L10" s="16"/>
      <c r="M10" s="16"/>
      <c r="N10" s="16"/>
      <c r="O10" s="16"/>
    </row>
    <row r="11" spans="1:15" x14ac:dyDescent="0.35">
      <c r="A11" s="11" t="s">
        <v>401</v>
      </c>
      <c r="B11" s="16">
        <v>0.47</v>
      </c>
      <c r="C11" s="16">
        <v>0.48</v>
      </c>
      <c r="D11" s="16">
        <v>0.45</v>
      </c>
      <c r="E11" s="16">
        <v>0.48</v>
      </c>
      <c r="F11" s="16">
        <v>0.45</v>
      </c>
      <c r="G11" s="16">
        <v>0.46</v>
      </c>
      <c r="H11" s="16">
        <v>0.45</v>
      </c>
      <c r="I11" s="16" t="s">
        <v>381</v>
      </c>
      <c r="J11" s="16">
        <v>0.45</v>
      </c>
      <c r="K11" s="16"/>
      <c r="L11" s="16"/>
      <c r="M11" s="16"/>
      <c r="N11" s="16"/>
      <c r="O11" s="16"/>
    </row>
    <row r="12" spans="1:15" x14ac:dyDescent="0.35">
      <c r="A12" s="11" t="s">
        <v>406</v>
      </c>
      <c r="B12" s="16">
        <v>0.65</v>
      </c>
      <c r="C12" s="16">
        <v>0.63</v>
      </c>
      <c r="D12" s="16">
        <v>0.61</v>
      </c>
      <c r="E12" s="16">
        <v>0.62</v>
      </c>
      <c r="F12" s="16">
        <v>0.6</v>
      </c>
      <c r="G12" s="16">
        <v>0.62</v>
      </c>
      <c r="H12" s="16">
        <v>0.64</v>
      </c>
      <c r="I12" s="16" t="s">
        <v>396</v>
      </c>
      <c r="J12" s="16">
        <v>0.59</v>
      </c>
      <c r="K12" s="16"/>
      <c r="L12" s="16"/>
      <c r="M12" s="16"/>
      <c r="N12" s="16"/>
      <c r="O12" s="16"/>
    </row>
    <row r="13" spans="1:15" ht="30" customHeight="1" x14ac:dyDescent="0.4">
      <c r="A13" s="5" t="s">
        <v>54</v>
      </c>
      <c r="B13" s="16"/>
      <c r="C13" s="16"/>
      <c r="D13" s="16"/>
      <c r="E13" s="16"/>
      <c r="F13" s="16"/>
      <c r="G13" s="16"/>
      <c r="H13" s="16"/>
      <c r="I13" s="16"/>
      <c r="J13" s="16"/>
      <c r="K13" s="16"/>
      <c r="L13" s="16"/>
      <c r="M13" s="16"/>
      <c r="N13" s="16"/>
      <c r="O13" s="16"/>
    </row>
    <row r="14" spans="1:15" x14ac:dyDescent="0.35">
      <c r="A14" s="11" t="s">
        <v>398</v>
      </c>
      <c r="B14" s="16" t="s">
        <v>387</v>
      </c>
      <c r="C14" s="16" t="s">
        <v>388</v>
      </c>
      <c r="D14" s="16" t="s">
        <v>389</v>
      </c>
      <c r="E14" s="16" t="s">
        <v>390</v>
      </c>
      <c r="F14" s="16" t="s">
        <v>391</v>
      </c>
      <c r="G14" s="16" t="s">
        <v>392</v>
      </c>
      <c r="H14" s="16" t="s">
        <v>393</v>
      </c>
      <c r="I14" s="16" t="s">
        <v>381</v>
      </c>
      <c r="J14" s="16" t="s">
        <v>394</v>
      </c>
      <c r="K14" s="16"/>
      <c r="L14" s="16"/>
      <c r="M14" s="16"/>
      <c r="N14" s="16"/>
      <c r="O14" s="16"/>
    </row>
    <row r="15" spans="1:15" x14ac:dyDescent="0.35">
      <c r="A15" s="8" t="s">
        <v>400</v>
      </c>
      <c r="B15" s="12">
        <v>2833</v>
      </c>
      <c r="C15" s="12">
        <v>1995</v>
      </c>
      <c r="D15" s="12">
        <v>2069</v>
      </c>
      <c r="E15" s="12">
        <v>1890</v>
      </c>
      <c r="F15" s="12">
        <v>1696</v>
      </c>
      <c r="G15" s="12">
        <v>1607</v>
      </c>
      <c r="H15" s="12">
        <v>1514</v>
      </c>
      <c r="I15" s="12" t="s">
        <v>381</v>
      </c>
      <c r="J15" s="12">
        <v>1229</v>
      </c>
      <c r="K15" s="12"/>
      <c r="L15" s="12"/>
      <c r="M15" s="12"/>
      <c r="N15" s="12"/>
      <c r="O15" s="12"/>
    </row>
    <row r="16" spans="1:15" x14ac:dyDescent="0.35">
      <c r="A16" s="11" t="s">
        <v>403</v>
      </c>
      <c r="B16" s="13">
        <v>2833</v>
      </c>
      <c r="C16" s="13">
        <v>1995</v>
      </c>
      <c r="D16" s="13">
        <v>2069</v>
      </c>
      <c r="E16" s="13">
        <v>1890</v>
      </c>
      <c r="F16" s="13">
        <v>1696</v>
      </c>
      <c r="G16" s="13">
        <v>1607</v>
      </c>
      <c r="H16" s="13">
        <v>1514</v>
      </c>
      <c r="I16" s="13" t="s">
        <v>381</v>
      </c>
      <c r="J16" s="13">
        <v>1229</v>
      </c>
      <c r="K16" s="13"/>
      <c r="L16" s="13"/>
      <c r="M16" s="13"/>
      <c r="N16" s="13"/>
      <c r="O16" s="13"/>
    </row>
    <row r="17" spans="1:15" x14ac:dyDescent="0.35">
      <c r="A17" s="11" t="s">
        <v>402</v>
      </c>
      <c r="B17" s="13">
        <v>2833</v>
      </c>
      <c r="C17" s="13">
        <v>1995</v>
      </c>
      <c r="D17" s="13">
        <v>2069</v>
      </c>
      <c r="E17" s="13">
        <v>1890</v>
      </c>
      <c r="F17" s="13">
        <v>1696</v>
      </c>
      <c r="G17" s="13">
        <v>1607</v>
      </c>
      <c r="H17" s="13">
        <v>1514</v>
      </c>
      <c r="I17" s="13" t="s">
        <v>381</v>
      </c>
      <c r="J17" s="13">
        <v>1229</v>
      </c>
      <c r="K17" s="13"/>
      <c r="L17" s="13"/>
      <c r="M17" s="13"/>
      <c r="N17" s="13"/>
      <c r="O17" s="13"/>
    </row>
    <row r="18" spans="1:15" x14ac:dyDescent="0.35">
      <c r="A18" s="11" t="s">
        <v>401</v>
      </c>
      <c r="B18" s="13">
        <v>1599</v>
      </c>
      <c r="C18" s="13">
        <v>1995</v>
      </c>
      <c r="D18" s="13">
        <v>2069</v>
      </c>
      <c r="E18" s="13">
        <v>1890</v>
      </c>
      <c r="F18" s="13">
        <v>1696</v>
      </c>
      <c r="G18" s="13">
        <v>1607</v>
      </c>
      <c r="H18" s="13">
        <v>1514</v>
      </c>
      <c r="I18" s="13" t="s">
        <v>381</v>
      </c>
      <c r="J18" s="13">
        <v>1229</v>
      </c>
      <c r="K18" s="13"/>
      <c r="L18" s="13"/>
      <c r="M18" s="13"/>
      <c r="N18" s="13"/>
      <c r="O18" s="13"/>
    </row>
    <row r="19" spans="1:15" x14ac:dyDescent="0.35">
      <c r="A19" s="11" t="s">
        <v>406</v>
      </c>
      <c r="B19" s="13">
        <v>1599</v>
      </c>
      <c r="C19" s="13">
        <v>1995</v>
      </c>
      <c r="D19" s="13">
        <v>2069</v>
      </c>
      <c r="E19" s="13">
        <v>1890</v>
      </c>
      <c r="F19" s="13">
        <v>1696</v>
      </c>
      <c r="G19" s="13">
        <v>1607</v>
      </c>
      <c r="H19" s="13">
        <v>1514</v>
      </c>
      <c r="I19" s="13" t="s">
        <v>381</v>
      </c>
      <c r="J19" s="13">
        <v>1229</v>
      </c>
      <c r="K19" s="13"/>
      <c r="L19" s="13"/>
      <c r="M19" s="13"/>
      <c r="N19" s="13"/>
      <c r="O19" s="13"/>
    </row>
    <row r="20" spans="1:15" x14ac:dyDescent="0.35">
      <c r="A20" s="11"/>
      <c r="B20" s="13"/>
      <c r="C20" s="13"/>
      <c r="D20" s="13"/>
      <c r="E20" s="13"/>
      <c r="F20" s="13"/>
      <c r="G20" s="13"/>
      <c r="H20" s="13"/>
      <c r="I20" s="13"/>
      <c r="J20" s="13"/>
      <c r="K20" s="13"/>
      <c r="L20" s="13"/>
      <c r="M20" s="13"/>
      <c r="N20" s="13"/>
      <c r="O20" s="13"/>
    </row>
    <row r="21" spans="1:15" x14ac:dyDescent="0.35">
      <c r="A21" s="11"/>
      <c r="B21" s="13"/>
      <c r="C21" s="13"/>
      <c r="D21" s="13"/>
      <c r="E21" s="13"/>
      <c r="F21" s="13"/>
      <c r="G21" s="13"/>
      <c r="H21" s="13"/>
      <c r="I21" s="13"/>
      <c r="J21" s="13"/>
      <c r="K21" s="13"/>
      <c r="L21" s="13"/>
      <c r="M21" s="13"/>
      <c r="N21" s="13"/>
      <c r="O21" s="13"/>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60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479</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59</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381</v>
      </c>
      <c r="H7" s="9" t="s">
        <v>394</v>
      </c>
      <c r="I7" s="9"/>
      <c r="J7" s="9"/>
      <c r="K7" s="9"/>
      <c r="L7" s="9"/>
      <c r="M7" s="9"/>
      <c r="N7" s="9"/>
      <c r="O7" s="9"/>
    </row>
    <row r="8" spans="1:15" x14ac:dyDescent="0.35">
      <c r="A8" s="8" t="s">
        <v>480</v>
      </c>
      <c r="B8" s="12">
        <v>300</v>
      </c>
      <c r="C8" s="12">
        <v>300</v>
      </c>
      <c r="D8" s="12">
        <v>400</v>
      </c>
      <c r="E8" s="12">
        <v>500</v>
      </c>
      <c r="F8" s="12">
        <v>500</v>
      </c>
      <c r="G8" s="12" t="s">
        <v>396</v>
      </c>
      <c r="H8" s="12">
        <v>300</v>
      </c>
      <c r="I8" s="12"/>
      <c r="J8" s="12"/>
      <c r="K8" s="12"/>
      <c r="L8" s="12"/>
      <c r="M8" s="12"/>
      <c r="N8" s="12"/>
      <c r="O8" s="12"/>
    </row>
    <row r="9" spans="1:15" x14ac:dyDescent="0.35">
      <c r="A9" s="11" t="s">
        <v>407</v>
      </c>
      <c r="B9" s="13">
        <v>20800</v>
      </c>
      <c r="C9" s="13">
        <v>19400</v>
      </c>
      <c r="D9" s="13">
        <v>23000</v>
      </c>
      <c r="E9" s="13">
        <v>21100</v>
      </c>
      <c r="F9" s="13">
        <v>24100</v>
      </c>
      <c r="G9" s="13" t="s">
        <v>396</v>
      </c>
      <c r="H9" s="13">
        <v>27400</v>
      </c>
      <c r="I9" s="13"/>
      <c r="J9" s="13"/>
      <c r="K9" s="13"/>
      <c r="L9" s="13"/>
      <c r="M9" s="13"/>
      <c r="N9" s="13"/>
      <c r="O9" s="13"/>
    </row>
    <row r="10" spans="1:15" x14ac:dyDescent="0.35">
      <c r="A10" s="11" t="s">
        <v>408</v>
      </c>
      <c r="B10" s="13">
        <v>79900</v>
      </c>
      <c r="C10" s="13">
        <v>81700</v>
      </c>
      <c r="D10" s="13">
        <v>90100</v>
      </c>
      <c r="E10" s="13">
        <v>91800</v>
      </c>
      <c r="F10" s="13">
        <v>106800</v>
      </c>
      <c r="G10" s="13" t="s">
        <v>396</v>
      </c>
      <c r="H10" s="13">
        <v>100500</v>
      </c>
      <c r="I10" s="13"/>
      <c r="J10" s="13"/>
      <c r="K10" s="13"/>
      <c r="L10" s="13"/>
      <c r="M10" s="13"/>
      <c r="N10" s="13"/>
      <c r="O10" s="13"/>
    </row>
    <row r="11" spans="1:15" x14ac:dyDescent="0.35">
      <c r="A11" s="11" t="s">
        <v>409</v>
      </c>
      <c r="B11" s="13">
        <v>169700</v>
      </c>
      <c r="C11" s="13">
        <v>183400</v>
      </c>
      <c r="D11" s="13">
        <v>159600</v>
      </c>
      <c r="E11" s="13">
        <v>162000</v>
      </c>
      <c r="F11" s="13">
        <v>145900</v>
      </c>
      <c r="G11" s="13" t="s">
        <v>396</v>
      </c>
      <c r="H11" s="13">
        <v>143000</v>
      </c>
      <c r="I11" s="13"/>
      <c r="J11" s="13"/>
      <c r="K11" s="13"/>
      <c r="L11" s="13"/>
      <c r="M11" s="13"/>
      <c r="N11" s="13"/>
      <c r="O11" s="13"/>
    </row>
    <row r="12" spans="1:15" x14ac:dyDescent="0.35">
      <c r="A12" s="11" t="s">
        <v>410</v>
      </c>
      <c r="B12" s="13">
        <v>215000</v>
      </c>
      <c r="C12" s="13">
        <v>250200</v>
      </c>
      <c r="D12" s="13">
        <v>290800</v>
      </c>
      <c r="E12" s="13">
        <v>285300</v>
      </c>
      <c r="F12" s="13">
        <v>259300</v>
      </c>
      <c r="G12" s="13" t="s">
        <v>396</v>
      </c>
      <c r="H12" s="13">
        <v>259500</v>
      </c>
      <c r="I12" s="13"/>
      <c r="J12" s="13"/>
      <c r="K12" s="13"/>
      <c r="L12" s="13"/>
      <c r="M12" s="13"/>
      <c r="N12" s="13"/>
      <c r="O12" s="13"/>
    </row>
    <row r="13" spans="1:15" x14ac:dyDescent="0.35">
      <c r="A13" s="11" t="s">
        <v>411</v>
      </c>
      <c r="B13" s="13">
        <v>169200</v>
      </c>
      <c r="C13" s="13">
        <v>205000</v>
      </c>
      <c r="D13" s="13">
        <v>241500</v>
      </c>
      <c r="E13" s="13">
        <v>280800</v>
      </c>
      <c r="F13" s="13">
        <v>279500</v>
      </c>
      <c r="G13" s="13" t="s">
        <v>396</v>
      </c>
      <c r="H13" s="13">
        <v>229000</v>
      </c>
      <c r="I13" s="13"/>
      <c r="J13" s="13"/>
      <c r="K13" s="13"/>
      <c r="L13" s="13"/>
      <c r="M13" s="13"/>
      <c r="N13" s="13"/>
      <c r="O13" s="13"/>
    </row>
    <row r="14" spans="1:15" x14ac:dyDescent="0.35">
      <c r="A14" s="11" t="s">
        <v>412</v>
      </c>
      <c r="B14" s="13">
        <v>129000</v>
      </c>
      <c r="C14" s="13">
        <v>145500</v>
      </c>
      <c r="D14" s="13">
        <v>153700</v>
      </c>
      <c r="E14" s="13">
        <v>185000</v>
      </c>
      <c r="F14" s="13">
        <v>190400</v>
      </c>
      <c r="G14" s="13" t="s">
        <v>396</v>
      </c>
      <c r="H14" s="13">
        <v>186900</v>
      </c>
      <c r="I14" s="13"/>
      <c r="J14" s="13"/>
      <c r="K14" s="13"/>
      <c r="L14" s="13"/>
      <c r="M14" s="13"/>
      <c r="N14" s="13"/>
      <c r="O14" s="13"/>
    </row>
    <row r="15" spans="1:15" x14ac:dyDescent="0.35">
      <c r="A15" s="11" t="s">
        <v>395</v>
      </c>
      <c r="B15" s="13">
        <v>51400</v>
      </c>
      <c r="C15" s="13">
        <v>54100</v>
      </c>
      <c r="D15" s="13">
        <v>63200</v>
      </c>
      <c r="E15" s="13">
        <v>61700</v>
      </c>
      <c r="F15" s="13">
        <v>58400</v>
      </c>
      <c r="G15" s="13" t="s">
        <v>396</v>
      </c>
      <c r="H15" s="13">
        <v>66300</v>
      </c>
      <c r="I15" s="13"/>
      <c r="J15" s="13"/>
      <c r="K15" s="13"/>
      <c r="L15" s="13"/>
      <c r="M15" s="13"/>
      <c r="N15" s="13"/>
      <c r="O15" s="13"/>
    </row>
    <row r="16" spans="1:15" ht="30" customHeight="1" x14ac:dyDescent="0.4">
      <c r="A16" s="5" t="s">
        <v>57</v>
      </c>
      <c r="B16" s="13"/>
      <c r="C16" s="13"/>
      <c r="D16" s="13"/>
      <c r="E16" s="13"/>
      <c r="F16" s="13"/>
      <c r="G16" s="13"/>
      <c r="H16" s="13"/>
      <c r="I16" s="13"/>
      <c r="J16" s="13"/>
      <c r="K16" s="13"/>
      <c r="L16" s="13"/>
      <c r="M16" s="13"/>
      <c r="N16" s="13"/>
      <c r="O16" s="13"/>
    </row>
    <row r="17" spans="1:15" x14ac:dyDescent="0.35">
      <c r="A17" s="11" t="s">
        <v>386</v>
      </c>
      <c r="B17" s="13" t="s">
        <v>389</v>
      </c>
      <c r="C17" s="13" t="s">
        <v>390</v>
      </c>
      <c r="D17" s="13" t="s">
        <v>391</v>
      </c>
      <c r="E17" s="13" t="s">
        <v>392</v>
      </c>
      <c r="F17" s="13" t="s">
        <v>393</v>
      </c>
      <c r="G17" s="13" t="s">
        <v>381</v>
      </c>
      <c r="H17" s="13" t="s">
        <v>394</v>
      </c>
      <c r="I17" s="13"/>
      <c r="J17" s="13"/>
      <c r="K17" s="13"/>
      <c r="L17" s="13"/>
      <c r="M17" s="13"/>
      <c r="N17" s="13"/>
      <c r="O17" s="13"/>
    </row>
    <row r="18" spans="1:15" x14ac:dyDescent="0.35">
      <c r="A18" s="8" t="s">
        <v>480</v>
      </c>
      <c r="B18" s="12">
        <v>7</v>
      </c>
      <c r="C18" s="12">
        <v>7</v>
      </c>
      <c r="D18" s="12">
        <v>7</v>
      </c>
      <c r="E18" s="12">
        <v>7</v>
      </c>
      <c r="F18" s="12">
        <v>7</v>
      </c>
      <c r="G18" s="12" t="s">
        <v>381</v>
      </c>
      <c r="H18" s="12">
        <v>9</v>
      </c>
      <c r="I18" s="12"/>
      <c r="J18" s="12"/>
      <c r="K18" s="12"/>
      <c r="L18" s="12"/>
      <c r="M18" s="12"/>
      <c r="N18" s="12"/>
      <c r="O18" s="12"/>
    </row>
    <row r="19" spans="1:15" x14ac:dyDescent="0.35">
      <c r="A19" s="11" t="s">
        <v>407</v>
      </c>
      <c r="B19" s="13">
        <v>26</v>
      </c>
      <c r="C19" s="13">
        <v>26</v>
      </c>
      <c r="D19" s="13">
        <v>25</v>
      </c>
      <c r="E19" s="13">
        <v>25</v>
      </c>
      <c r="F19" s="13">
        <v>26</v>
      </c>
      <c r="G19" s="13" t="s">
        <v>381</v>
      </c>
      <c r="H19" s="13">
        <v>26</v>
      </c>
      <c r="I19" s="13"/>
      <c r="J19" s="13"/>
      <c r="K19" s="13"/>
      <c r="L19" s="13"/>
      <c r="M19" s="13"/>
      <c r="N19" s="13"/>
      <c r="O19" s="13"/>
    </row>
    <row r="20" spans="1:15" x14ac:dyDescent="0.35">
      <c r="A20" s="11" t="s">
        <v>408</v>
      </c>
      <c r="B20" s="13">
        <v>40</v>
      </c>
      <c r="C20" s="13">
        <v>40</v>
      </c>
      <c r="D20" s="13">
        <v>40</v>
      </c>
      <c r="E20" s="13">
        <v>40</v>
      </c>
      <c r="F20" s="13">
        <v>39</v>
      </c>
      <c r="G20" s="13" t="s">
        <v>381</v>
      </c>
      <c r="H20" s="13">
        <v>39</v>
      </c>
      <c r="I20" s="13"/>
      <c r="J20" s="13"/>
      <c r="K20" s="13"/>
      <c r="L20" s="13"/>
      <c r="M20" s="13"/>
      <c r="N20" s="13"/>
      <c r="O20" s="13"/>
    </row>
    <row r="21" spans="1:15" x14ac:dyDescent="0.35">
      <c r="A21" s="11" t="s">
        <v>409</v>
      </c>
      <c r="B21" s="13">
        <v>50</v>
      </c>
      <c r="C21" s="13">
        <v>50</v>
      </c>
      <c r="D21" s="13">
        <v>50</v>
      </c>
      <c r="E21" s="13">
        <v>49</v>
      </c>
      <c r="F21" s="13">
        <v>50</v>
      </c>
      <c r="G21" s="13" t="s">
        <v>381</v>
      </c>
      <c r="H21" s="13">
        <v>50</v>
      </c>
      <c r="I21" s="13"/>
      <c r="J21" s="13"/>
      <c r="K21" s="13"/>
      <c r="L21" s="13"/>
      <c r="M21" s="13"/>
      <c r="N21" s="13"/>
      <c r="O21" s="13"/>
    </row>
    <row r="22" spans="1:15" x14ac:dyDescent="0.35">
      <c r="A22" s="11" t="s">
        <v>410</v>
      </c>
      <c r="B22" s="13">
        <v>60</v>
      </c>
      <c r="C22" s="13">
        <v>60</v>
      </c>
      <c r="D22" s="13">
        <v>59</v>
      </c>
      <c r="E22" s="13">
        <v>59</v>
      </c>
      <c r="F22" s="13">
        <v>59</v>
      </c>
      <c r="G22" s="13" t="s">
        <v>381</v>
      </c>
      <c r="H22" s="13">
        <v>59</v>
      </c>
      <c r="I22" s="13"/>
      <c r="J22" s="13"/>
      <c r="K22" s="13"/>
      <c r="L22" s="13"/>
      <c r="M22" s="13"/>
      <c r="N22" s="13"/>
      <c r="O22" s="13"/>
    </row>
    <row r="23" spans="1:15" x14ac:dyDescent="0.35">
      <c r="A23" s="11" t="s">
        <v>411</v>
      </c>
      <c r="B23" s="13">
        <v>69</v>
      </c>
      <c r="C23" s="13">
        <v>69</v>
      </c>
      <c r="D23" s="13">
        <v>69</v>
      </c>
      <c r="E23" s="13">
        <v>69</v>
      </c>
      <c r="F23" s="13">
        <v>69</v>
      </c>
      <c r="G23" s="13" t="s">
        <v>381</v>
      </c>
      <c r="H23" s="13">
        <v>70</v>
      </c>
      <c r="I23" s="13"/>
      <c r="J23" s="13"/>
      <c r="K23" s="13"/>
      <c r="L23" s="13"/>
      <c r="M23" s="13"/>
      <c r="N23" s="13"/>
      <c r="O23" s="13"/>
    </row>
    <row r="24" spans="1:15" x14ac:dyDescent="0.35">
      <c r="A24" s="11" t="s">
        <v>412</v>
      </c>
      <c r="B24" s="13">
        <v>80</v>
      </c>
      <c r="C24" s="13">
        <v>80</v>
      </c>
      <c r="D24" s="13">
        <v>80</v>
      </c>
      <c r="E24" s="13">
        <v>80</v>
      </c>
      <c r="F24" s="13">
        <v>80</v>
      </c>
      <c r="G24" s="13" t="s">
        <v>381</v>
      </c>
      <c r="H24" s="13">
        <v>81</v>
      </c>
      <c r="I24" s="13"/>
      <c r="J24" s="13"/>
      <c r="K24" s="13"/>
      <c r="L24" s="13"/>
      <c r="M24" s="13"/>
      <c r="N24" s="13"/>
      <c r="O24" s="13"/>
    </row>
    <row r="25" spans="1:15" x14ac:dyDescent="0.35">
      <c r="A25" s="11" t="s">
        <v>395</v>
      </c>
      <c r="B25" s="13">
        <v>42</v>
      </c>
      <c r="C25" s="13">
        <v>43</v>
      </c>
      <c r="D25" s="13">
        <v>45</v>
      </c>
      <c r="E25" s="13">
        <v>42</v>
      </c>
      <c r="F25" s="13">
        <v>43</v>
      </c>
      <c r="G25" s="13" t="s">
        <v>381</v>
      </c>
      <c r="H25" s="13">
        <v>45</v>
      </c>
      <c r="I25" s="13"/>
      <c r="J25" s="13"/>
      <c r="K25" s="13"/>
      <c r="L25" s="13"/>
      <c r="M25" s="13"/>
      <c r="N25" s="13"/>
      <c r="O25" s="13"/>
    </row>
    <row r="26" spans="1:15" ht="30" customHeight="1" x14ac:dyDescent="0.4">
      <c r="A26" s="5" t="s">
        <v>58</v>
      </c>
      <c r="B26" s="13"/>
      <c r="C26" s="13"/>
      <c r="D26" s="13"/>
      <c r="E26" s="13"/>
      <c r="F26" s="13"/>
      <c r="G26" s="13"/>
      <c r="H26" s="13"/>
      <c r="I26" s="13"/>
      <c r="J26" s="13"/>
      <c r="K26" s="13"/>
      <c r="L26" s="13"/>
      <c r="M26" s="13"/>
      <c r="N26" s="13"/>
      <c r="O26" s="13"/>
    </row>
    <row r="27" spans="1:15" x14ac:dyDescent="0.35">
      <c r="A27" s="11" t="s">
        <v>386</v>
      </c>
      <c r="B27" s="13" t="s">
        <v>389</v>
      </c>
      <c r="C27" s="13" t="s">
        <v>390</v>
      </c>
      <c r="D27" s="13" t="s">
        <v>391</v>
      </c>
      <c r="E27" s="13" t="s">
        <v>392</v>
      </c>
      <c r="F27" s="13" t="s">
        <v>393</v>
      </c>
      <c r="G27" s="13" t="s">
        <v>381</v>
      </c>
      <c r="H27" s="13" t="s">
        <v>394</v>
      </c>
      <c r="I27" s="13"/>
      <c r="J27" s="13"/>
      <c r="K27" s="13"/>
      <c r="L27" s="13"/>
      <c r="M27" s="13"/>
      <c r="N27" s="13"/>
      <c r="O27" s="13"/>
    </row>
    <row r="28" spans="1:15" x14ac:dyDescent="0.35">
      <c r="A28" s="8" t="s">
        <v>480</v>
      </c>
      <c r="B28" s="12">
        <v>733</v>
      </c>
      <c r="C28" s="12">
        <v>617</v>
      </c>
      <c r="D28" s="12">
        <v>514</v>
      </c>
      <c r="E28" s="12">
        <v>476</v>
      </c>
      <c r="F28" s="12">
        <v>423</v>
      </c>
      <c r="G28" s="12" t="s">
        <v>381</v>
      </c>
      <c r="H28" s="12">
        <v>268</v>
      </c>
      <c r="I28" s="12"/>
      <c r="J28" s="12"/>
      <c r="K28" s="12"/>
      <c r="L28" s="12"/>
      <c r="M28" s="12"/>
      <c r="N28" s="12"/>
      <c r="O28" s="12"/>
    </row>
    <row r="29" spans="1:15" x14ac:dyDescent="0.35">
      <c r="A29" s="11" t="s">
        <v>407</v>
      </c>
      <c r="B29" s="13">
        <v>848</v>
      </c>
      <c r="C29" s="13">
        <v>674</v>
      </c>
      <c r="D29" s="13">
        <v>582</v>
      </c>
      <c r="E29" s="13">
        <v>576</v>
      </c>
      <c r="F29" s="13">
        <v>475</v>
      </c>
      <c r="G29" s="13" t="s">
        <v>381</v>
      </c>
      <c r="H29" s="13">
        <v>354</v>
      </c>
      <c r="I29" s="13"/>
      <c r="J29" s="13"/>
      <c r="K29" s="13"/>
      <c r="L29" s="13"/>
      <c r="M29" s="13"/>
      <c r="N29" s="13"/>
      <c r="O29" s="13"/>
    </row>
    <row r="30" spans="1:15" x14ac:dyDescent="0.35">
      <c r="A30" s="11" t="s">
        <v>408</v>
      </c>
      <c r="B30" s="13">
        <v>559</v>
      </c>
      <c r="C30" s="13">
        <v>440</v>
      </c>
      <c r="D30" s="13">
        <v>379</v>
      </c>
      <c r="E30" s="13">
        <v>375</v>
      </c>
      <c r="F30" s="13">
        <v>298</v>
      </c>
      <c r="G30" s="13" t="s">
        <v>381</v>
      </c>
      <c r="H30" s="13">
        <v>206</v>
      </c>
      <c r="I30" s="13"/>
      <c r="J30" s="13"/>
      <c r="K30" s="13"/>
      <c r="L30" s="13"/>
      <c r="M30" s="13"/>
      <c r="N30" s="13"/>
      <c r="O30" s="13"/>
    </row>
    <row r="31" spans="1:15" x14ac:dyDescent="0.35">
      <c r="A31" s="11" t="s">
        <v>409</v>
      </c>
      <c r="B31" s="13">
        <v>667</v>
      </c>
      <c r="C31" s="13">
        <v>602</v>
      </c>
      <c r="D31" s="13">
        <v>551</v>
      </c>
      <c r="E31" s="13">
        <v>507</v>
      </c>
      <c r="F31" s="13">
        <v>441</v>
      </c>
      <c r="G31" s="13" t="s">
        <v>381</v>
      </c>
      <c r="H31" s="13">
        <v>335</v>
      </c>
      <c r="I31" s="13"/>
      <c r="J31" s="13"/>
      <c r="K31" s="13"/>
      <c r="L31" s="13"/>
      <c r="M31" s="13"/>
      <c r="N31" s="13"/>
      <c r="O31" s="13"/>
    </row>
    <row r="32" spans="1:15" x14ac:dyDescent="0.35">
      <c r="A32" s="11" t="s">
        <v>410</v>
      </c>
      <c r="B32" s="13">
        <v>711</v>
      </c>
      <c r="C32" s="13">
        <v>645</v>
      </c>
      <c r="D32" s="13">
        <v>562</v>
      </c>
      <c r="E32" s="13">
        <v>556</v>
      </c>
      <c r="F32" s="13">
        <v>509</v>
      </c>
      <c r="G32" s="13" t="s">
        <v>381</v>
      </c>
      <c r="H32" s="13">
        <v>483</v>
      </c>
      <c r="I32" s="13"/>
      <c r="J32" s="13"/>
      <c r="K32" s="13"/>
      <c r="L32" s="13"/>
      <c r="M32" s="13"/>
      <c r="N32" s="13"/>
      <c r="O32" s="13"/>
    </row>
    <row r="33" spans="1:15" x14ac:dyDescent="0.35">
      <c r="A33" s="11" t="s">
        <v>411</v>
      </c>
      <c r="B33" s="13">
        <v>612</v>
      </c>
      <c r="C33" s="13">
        <v>643</v>
      </c>
      <c r="D33" s="13">
        <v>594</v>
      </c>
      <c r="E33" s="13">
        <v>541</v>
      </c>
      <c r="F33" s="13">
        <v>574</v>
      </c>
      <c r="G33" s="13" t="s">
        <v>381</v>
      </c>
      <c r="H33" s="13">
        <v>505</v>
      </c>
      <c r="I33" s="13"/>
      <c r="J33" s="13"/>
      <c r="K33" s="13"/>
      <c r="L33" s="13"/>
      <c r="M33" s="13"/>
      <c r="N33" s="13"/>
      <c r="O33" s="13"/>
    </row>
    <row r="34" spans="1:15" x14ac:dyDescent="0.35">
      <c r="A34" s="11" t="s">
        <v>412</v>
      </c>
      <c r="B34" s="13">
        <v>410</v>
      </c>
      <c r="C34" s="13">
        <v>436</v>
      </c>
      <c r="D34" s="13">
        <v>424</v>
      </c>
      <c r="E34" s="13">
        <v>405</v>
      </c>
      <c r="F34" s="13">
        <v>405</v>
      </c>
      <c r="G34" s="13" t="s">
        <v>381</v>
      </c>
      <c r="H34" s="13">
        <v>339</v>
      </c>
      <c r="I34" s="13"/>
      <c r="J34" s="13"/>
      <c r="K34" s="13"/>
      <c r="L34" s="13"/>
      <c r="M34" s="13"/>
      <c r="N34" s="13"/>
      <c r="O34" s="13"/>
    </row>
    <row r="35" spans="1:15" x14ac:dyDescent="0.35">
      <c r="A35" s="11" t="s">
        <v>395</v>
      </c>
      <c r="B35" s="13">
        <v>4540</v>
      </c>
      <c r="C35" s="13">
        <v>4057</v>
      </c>
      <c r="D35" s="13">
        <v>3606</v>
      </c>
      <c r="E35" s="13">
        <v>3436</v>
      </c>
      <c r="F35" s="13">
        <v>3125</v>
      </c>
      <c r="G35" s="13" t="s">
        <v>381</v>
      </c>
      <c r="H35" s="13">
        <v>2490</v>
      </c>
      <c r="I35" s="13"/>
      <c r="J35" s="13"/>
      <c r="K35" s="13"/>
      <c r="L35" s="13"/>
      <c r="M35" s="13"/>
      <c r="N35" s="13"/>
      <c r="O35" s="13"/>
    </row>
    <row r="36" spans="1:15" x14ac:dyDescent="0.35">
      <c r="A36" s="11"/>
      <c r="B36" s="13"/>
      <c r="C36" s="13"/>
      <c r="D36" s="13"/>
      <c r="E36" s="13"/>
      <c r="F36" s="13"/>
      <c r="G36" s="13"/>
      <c r="H36" s="13"/>
      <c r="I36" s="13"/>
      <c r="J36" s="13"/>
      <c r="K36" s="13"/>
      <c r="L36" s="13"/>
      <c r="M36" s="13"/>
      <c r="N36" s="13"/>
      <c r="O36" s="13"/>
    </row>
    <row r="37" spans="1:15" x14ac:dyDescent="0.35">
      <c r="A37" s="11"/>
      <c r="B37" s="13"/>
      <c r="C37" s="13"/>
      <c r="D37" s="13"/>
      <c r="E37" s="13"/>
      <c r="F37" s="13"/>
      <c r="G37" s="13"/>
      <c r="H37" s="13"/>
      <c r="I37" s="13"/>
      <c r="J37" s="13"/>
      <c r="K37" s="13"/>
      <c r="L37" s="13"/>
      <c r="M37" s="13"/>
      <c r="N37" s="13"/>
      <c r="O37" s="13"/>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64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481</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63</v>
      </c>
      <c r="B6" s="9"/>
      <c r="C6" s="9"/>
      <c r="D6" s="9"/>
      <c r="E6" s="9"/>
      <c r="F6" s="9"/>
      <c r="G6" s="9"/>
      <c r="H6" s="9"/>
      <c r="I6" s="9"/>
      <c r="J6" s="9"/>
      <c r="K6" s="9"/>
      <c r="L6" s="9"/>
      <c r="M6" s="9"/>
      <c r="N6" s="9"/>
      <c r="O6" s="9"/>
    </row>
    <row r="7" spans="1:15" x14ac:dyDescent="0.35">
      <c r="A7" s="11" t="s">
        <v>386</v>
      </c>
      <c r="B7" s="9" t="s">
        <v>391</v>
      </c>
      <c r="C7" s="9" t="s">
        <v>392</v>
      </c>
      <c r="D7" s="9" t="s">
        <v>393</v>
      </c>
      <c r="E7" s="9" t="s">
        <v>381</v>
      </c>
      <c r="F7" s="9" t="s">
        <v>394</v>
      </c>
      <c r="G7" s="9"/>
      <c r="H7" s="9"/>
      <c r="I7" s="9"/>
      <c r="J7" s="9"/>
      <c r="K7" s="9"/>
      <c r="L7" s="9"/>
      <c r="M7" s="9"/>
      <c r="N7" s="9"/>
      <c r="O7" s="9"/>
    </row>
    <row r="8" spans="1:15" x14ac:dyDescent="0.35">
      <c r="A8" s="8" t="s">
        <v>482</v>
      </c>
      <c r="B8" s="12">
        <v>197500</v>
      </c>
      <c r="C8" s="12">
        <v>269000</v>
      </c>
      <c r="D8" s="12">
        <v>259800</v>
      </c>
      <c r="E8" s="12" t="s">
        <v>396</v>
      </c>
      <c r="F8" s="12">
        <v>240500</v>
      </c>
      <c r="G8" s="12"/>
      <c r="H8" s="12"/>
      <c r="I8" s="12"/>
      <c r="J8" s="12"/>
      <c r="K8" s="12"/>
      <c r="L8" s="12"/>
      <c r="M8" s="12"/>
      <c r="N8" s="12"/>
      <c r="O8" s="12"/>
    </row>
    <row r="9" spans="1:15" x14ac:dyDescent="0.35">
      <c r="A9" s="11" t="s">
        <v>483</v>
      </c>
      <c r="B9" s="13">
        <v>113500</v>
      </c>
      <c r="C9" s="13">
        <v>124200</v>
      </c>
      <c r="D9" s="13">
        <v>110000</v>
      </c>
      <c r="E9" s="13" t="s">
        <v>396</v>
      </c>
      <c r="F9" s="13">
        <v>168000</v>
      </c>
      <c r="G9" s="13"/>
      <c r="H9" s="13"/>
      <c r="I9" s="13"/>
      <c r="J9" s="13"/>
      <c r="K9" s="13"/>
      <c r="L9" s="13"/>
      <c r="M9" s="13"/>
      <c r="N9" s="13"/>
      <c r="O9" s="13"/>
    </row>
    <row r="10" spans="1:15" x14ac:dyDescent="0.35">
      <c r="A10" s="11" t="s">
        <v>484</v>
      </c>
      <c r="B10" s="13">
        <v>109200</v>
      </c>
      <c r="C10" s="13">
        <v>102600</v>
      </c>
      <c r="D10" s="13">
        <v>99100</v>
      </c>
      <c r="E10" s="13" t="s">
        <v>396</v>
      </c>
      <c r="F10" s="13">
        <v>122500</v>
      </c>
      <c r="G10" s="13"/>
      <c r="H10" s="13"/>
      <c r="I10" s="13"/>
      <c r="J10" s="13"/>
      <c r="K10" s="13"/>
      <c r="L10" s="13"/>
      <c r="M10" s="13"/>
      <c r="N10" s="13"/>
      <c r="O10" s="13"/>
    </row>
    <row r="11" spans="1:15" x14ac:dyDescent="0.35">
      <c r="A11" s="11" t="s">
        <v>485</v>
      </c>
      <c r="B11" s="13">
        <v>25000</v>
      </c>
      <c r="C11" s="13">
        <v>18700</v>
      </c>
      <c r="D11" s="13">
        <v>23600</v>
      </c>
      <c r="E11" s="13" t="s">
        <v>396</v>
      </c>
      <c r="F11" s="13">
        <v>12500</v>
      </c>
      <c r="G11" s="13"/>
      <c r="H11" s="13"/>
      <c r="I11" s="13"/>
      <c r="J11" s="13"/>
      <c r="K11" s="13"/>
      <c r="L11" s="13"/>
      <c r="M11" s="13"/>
      <c r="N11" s="13"/>
      <c r="O11" s="13"/>
    </row>
    <row r="12" spans="1:15" x14ac:dyDescent="0.35">
      <c r="A12" s="11" t="s">
        <v>486</v>
      </c>
      <c r="B12" s="13">
        <v>19700</v>
      </c>
      <c r="C12" s="13">
        <v>15600</v>
      </c>
      <c r="D12" s="13">
        <v>22200</v>
      </c>
      <c r="E12" s="13" t="s">
        <v>396</v>
      </c>
      <c r="F12" s="13">
        <v>24500</v>
      </c>
      <c r="G12" s="13"/>
      <c r="H12" s="13"/>
      <c r="I12" s="13"/>
      <c r="J12" s="13"/>
      <c r="K12" s="13"/>
      <c r="L12" s="13"/>
      <c r="M12" s="13"/>
      <c r="N12" s="13"/>
      <c r="O12" s="13"/>
    </row>
    <row r="13" spans="1:15" x14ac:dyDescent="0.35">
      <c r="A13" s="11" t="s">
        <v>487</v>
      </c>
      <c r="B13" s="13">
        <v>16400</v>
      </c>
      <c r="C13" s="13">
        <v>16200</v>
      </c>
      <c r="D13" s="13">
        <v>18800</v>
      </c>
      <c r="E13" s="13" t="s">
        <v>396</v>
      </c>
      <c r="F13" s="13">
        <v>15200</v>
      </c>
      <c r="G13" s="13"/>
      <c r="H13" s="13"/>
      <c r="I13" s="13"/>
      <c r="J13" s="13"/>
      <c r="K13" s="13"/>
      <c r="L13" s="13"/>
      <c r="M13" s="13"/>
      <c r="N13" s="13"/>
      <c r="O13" s="13"/>
    </row>
    <row r="14" spans="1:15" x14ac:dyDescent="0.35">
      <c r="A14" s="11" t="s">
        <v>488</v>
      </c>
      <c r="B14" s="13">
        <v>13000</v>
      </c>
      <c r="C14" s="13">
        <v>13800</v>
      </c>
      <c r="D14" s="13">
        <v>14000</v>
      </c>
      <c r="E14" s="13" t="s">
        <v>396</v>
      </c>
      <c r="F14" s="13">
        <v>12700</v>
      </c>
      <c r="G14" s="13"/>
      <c r="H14" s="13"/>
      <c r="I14" s="13"/>
      <c r="J14" s="13"/>
      <c r="K14" s="13"/>
      <c r="L14" s="13"/>
      <c r="M14" s="13"/>
      <c r="N14" s="13"/>
      <c r="O14" s="13"/>
    </row>
    <row r="15" spans="1:15" x14ac:dyDescent="0.35">
      <c r="A15" s="11" t="s">
        <v>395</v>
      </c>
      <c r="B15" s="13">
        <v>107600</v>
      </c>
      <c r="C15" s="13">
        <v>110900</v>
      </c>
      <c r="D15" s="13">
        <v>105200</v>
      </c>
      <c r="E15" s="13" t="s">
        <v>396</v>
      </c>
      <c r="F15" s="13">
        <v>115900</v>
      </c>
      <c r="G15" s="13"/>
      <c r="H15" s="13"/>
      <c r="I15" s="13"/>
      <c r="J15" s="13"/>
      <c r="K15" s="13"/>
      <c r="L15" s="13"/>
      <c r="M15" s="13"/>
      <c r="N15" s="13"/>
      <c r="O15" s="13"/>
    </row>
    <row r="16" spans="1:15" ht="30" customHeight="1" x14ac:dyDescent="0.4">
      <c r="A16" s="5" t="s">
        <v>61</v>
      </c>
      <c r="B16" s="13"/>
      <c r="C16" s="13"/>
      <c r="D16" s="13"/>
      <c r="E16" s="13"/>
      <c r="F16" s="13"/>
      <c r="G16" s="13"/>
      <c r="H16" s="13"/>
      <c r="I16" s="13"/>
      <c r="J16" s="13"/>
      <c r="K16" s="13"/>
      <c r="L16" s="13"/>
      <c r="M16" s="13"/>
      <c r="N16" s="13"/>
      <c r="O16" s="13"/>
    </row>
    <row r="17" spans="1:15" x14ac:dyDescent="0.35">
      <c r="A17" s="11" t="s">
        <v>386</v>
      </c>
      <c r="B17" s="13" t="s">
        <v>391</v>
      </c>
      <c r="C17" s="13" t="s">
        <v>392</v>
      </c>
      <c r="D17" s="13" t="s">
        <v>393</v>
      </c>
      <c r="E17" s="13" t="s">
        <v>381</v>
      </c>
      <c r="F17" s="13" t="s">
        <v>394</v>
      </c>
      <c r="G17" s="13"/>
      <c r="H17" s="13"/>
      <c r="I17" s="13"/>
      <c r="J17" s="13"/>
      <c r="K17" s="13"/>
      <c r="L17" s="13"/>
      <c r="M17" s="13"/>
      <c r="N17" s="13"/>
      <c r="O17" s="13"/>
    </row>
    <row r="18" spans="1:15" x14ac:dyDescent="0.35">
      <c r="A18" s="8" t="s">
        <v>482</v>
      </c>
      <c r="B18" s="12">
        <v>72</v>
      </c>
      <c r="C18" s="12">
        <v>72</v>
      </c>
      <c r="D18" s="12">
        <v>72</v>
      </c>
      <c r="E18" s="12" t="s">
        <v>381</v>
      </c>
      <c r="F18" s="12">
        <v>73</v>
      </c>
      <c r="G18" s="12"/>
      <c r="H18" s="12"/>
      <c r="I18" s="12"/>
      <c r="J18" s="12"/>
      <c r="K18" s="12"/>
      <c r="L18" s="12"/>
      <c r="M18" s="12"/>
      <c r="N18" s="12"/>
      <c r="O18" s="12"/>
    </row>
    <row r="19" spans="1:15" x14ac:dyDescent="0.35">
      <c r="A19" s="11" t="s">
        <v>483</v>
      </c>
      <c r="B19" s="13">
        <v>48</v>
      </c>
      <c r="C19" s="13">
        <v>48</v>
      </c>
      <c r="D19" s="13">
        <v>50</v>
      </c>
      <c r="E19" s="13" t="s">
        <v>381</v>
      </c>
      <c r="F19" s="13">
        <v>46</v>
      </c>
      <c r="G19" s="13"/>
      <c r="H19" s="13"/>
      <c r="I19" s="13"/>
      <c r="J19" s="13"/>
      <c r="K19" s="13"/>
      <c r="L19" s="13"/>
      <c r="M19" s="13"/>
      <c r="N19" s="13"/>
      <c r="O19" s="13"/>
    </row>
    <row r="20" spans="1:15" x14ac:dyDescent="0.35">
      <c r="A20" s="11" t="s">
        <v>484</v>
      </c>
      <c r="B20" s="13">
        <v>43</v>
      </c>
      <c r="C20" s="13">
        <v>41</v>
      </c>
      <c r="D20" s="13">
        <v>41</v>
      </c>
      <c r="E20" s="13" t="s">
        <v>381</v>
      </c>
      <c r="F20" s="13">
        <v>43</v>
      </c>
      <c r="G20" s="13"/>
      <c r="H20" s="13"/>
      <c r="I20" s="13"/>
      <c r="J20" s="13"/>
      <c r="K20" s="13"/>
      <c r="L20" s="13"/>
      <c r="M20" s="13"/>
      <c r="N20" s="13"/>
      <c r="O20" s="13"/>
    </row>
    <row r="21" spans="1:15" x14ac:dyDescent="0.35">
      <c r="A21" s="11" t="s">
        <v>485</v>
      </c>
      <c r="B21" s="13">
        <v>40</v>
      </c>
      <c r="C21" s="13">
        <v>42</v>
      </c>
      <c r="D21" s="13">
        <v>44</v>
      </c>
      <c r="E21" s="13" t="s">
        <v>381</v>
      </c>
      <c r="F21" s="13">
        <v>51</v>
      </c>
      <c r="G21" s="13"/>
      <c r="H21" s="13"/>
      <c r="I21" s="13"/>
      <c r="J21" s="13"/>
      <c r="K21" s="13"/>
      <c r="L21" s="13"/>
      <c r="M21" s="13"/>
      <c r="N21" s="13"/>
      <c r="O21" s="13"/>
    </row>
    <row r="22" spans="1:15" x14ac:dyDescent="0.35">
      <c r="A22" s="11" t="s">
        <v>486</v>
      </c>
      <c r="B22" s="13">
        <v>20</v>
      </c>
      <c r="C22" s="13">
        <v>20</v>
      </c>
      <c r="D22" s="13">
        <v>22</v>
      </c>
      <c r="E22" s="13" t="s">
        <v>381</v>
      </c>
      <c r="F22" s="13">
        <v>21</v>
      </c>
      <c r="G22" s="13"/>
      <c r="H22" s="13"/>
      <c r="I22" s="13"/>
      <c r="J22" s="13"/>
      <c r="K22" s="13"/>
      <c r="L22" s="13"/>
      <c r="M22" s="13"/>
      <c r="N22" s="13"/>
      <c r="O22" s="13"/>
    </row>
    <row r="23" spans="1:15" x14ac:dyDescent="0.35">
      <c r="A23" s="11" t="s">
        <v>487</v>
      </c>
      <c r="B23" s="13">
        <v>52</v>
      </c>
      <c r="C23" s="13">
        <v>51</v>
      </c>
      <c r="D23" s="13">
        <v>52</v>
      </c>
      <c r="E23" s="13" t="s">
        <v>381</v>
      </c>
      <c r="F23" s="13">
        <v>49</v>
      </c>
      <c r="G23" s="13"/>
      <c r="H23" s="13"/>
      <c r="I23" s="13"/>
      <c r="J23" s="13"/>
      <c r="K23" s="13"/>
      <c r="L23" s="13"/>
      <c r="M23" s="13"/>
      <c r="N23" s="13"/>
      <c r="O23" s="13"/>
    </row>
    <row r="24" spans="1:15" x14ac:dyDescent="0.35">
      <c r="A24" s="11" t="s">
        <v>488</v>
      </c>
      <c r="B24" s="13">
        <v>39</v>
      </c>
      <c r="C24" s="13">
        <v>31</v>
      </c>
      <c r="D24" s="13">
        <v>28</v>
      </c>
      <c r="E24" s="13" t="s">
        <v>381</v>
      </c>
      <c r="F24" s="13">
        <v>35</v>
      </c>
      <c r="G24" s="13"/>
      <c r="H24" s="13"/>
      <c r="I24" s="13"/>
      <c r="J24" s="13"/>
      <c r="K24" s="13"/>
      <c r="L24" s="13"/>
      <c r="M24" s="13"/>
      <c r="N24" s="13"/>
      <c r="O24" s="13"/>
    </row>
    <row r="25" spans="1:15" x14ac:dyDescent="0.35">
      <c r="A25" s="11" t="s">
        <v>395</v>
      </c>
      <c r="B25" s="13">
        <v>50</v>
      </c>
      <c r="C25" s="13">
        <v>49</v>
      </c>
      <c r="D25" s="13">
        <v>50</v>
      </c>
      <c r="E25" s="13" t="s">
        <v>381</v>
      </c>
      <c r="F25" s="13">
        <v>51</v>
      </c>
      <c r="G25" s="13"/>
      <c r="H25" s="13"/>
      <c r="I25" s="13"/>
      <c r="J25" s="13"/>
      <c r="K25" s="13"/>
      <c r="L25" s="13"/>
      <c r="M25" s="13"/>
      <c r="N25" s="13"/>
      <c r="O25" s="13"/>
    </row>
    <row r="26" spans="1:15" ht="30" customHeight="1" x14ac:dyDescent="0.4">
      <c r="A26" s="5" t="s">
        <v>62</v>
      </c>
      <c r="B26" s="13"/>
      <c r="C26" s="13"/>
      <c r="D26" s="13"/>
      <c r="E26" s="13"/>
      <c r="F26" s="13"/>
      <c r="G26" s="13"/>
      <c r="H26" s="13"/>
      <c r="I26" s="13"/>
      <c r="J26" s="13"/>
      <c r="K26" s="13"/>
      <c r="L26" s="13"/>
      <c r="M26" s="13"/>
      <c r="N26" s="13"/>
      <c r="O26" s="13"/>
    </row>
    <row r="27" spans="1:15" x14ac:dyDescent="0.35">
      <c r="A27" s="11" t="s">
        <v>386</v>
      </c>
      <c r="B27" s="13" t="s">
        <v>391</v>
      </c>
      <c r="C27" s="13" t="s">
        <v>392</v>
      </c>
      <c r="D27" s="13" t="s">
        <v>393</v>
      </c>
      <c r="E27" s="13" t="s">
        <v>381</v>
      </c>
      <c r="F27" s="13" t="s">
        <v>394</v>
      </c>
      <c r="G27" s="13"/>
      <c r="H27" s="13"/>
      <c r="I27" s="13"/>
      <c r="J27" s="13"/>
      <c r="K27" s="13"/>
      <c r="L27" s="13"/>
      <c r="M27" s="13"/>
      <c r="N27" s="13"/>
      <c r="O27" s="13"/>
    </row>
    <row r="28" spans="1:15" x14ac:dyDescent="0.35">
      <c r="A28" s="8" t="s">
        <v>482</v>
      </c>
      <c r="B28" s="12">
        <v>1074</v>
      </c>
      <c r="C28" s="12">
        <v>997</v>
      </c>
      <c r="D28" s="12">
        <v>977</v>
      </c>
      <c r="E28" s="12" t="s">
        <v>381</v>
      </c>
      <c r="F28" s="12">
        <v>855</v>
      </c>
      <c r="G28" s="12"/>
      <c r="H28" s="12"/>
      <c r="I28" s="12"/>
      <c r="J28" s="12"/>
      <c r="K28" s="12"/>
      <c r="L28" s="12"/>
      <c r="M28" s="12"/>
      <c r="N28" s="12"/>
      <c r="O28" s="12"/>
    </row>
    <row r="29" spans="1:15" x14ac:dyDescent="0.35">
      <c r="A29" s="11" t="s">
        <v>483</v>
      </c>
      <c r="B29" s="13">
        <v>185</v>
      </c>
      <c r="C29" s="13">
        <v>206</v>
      </c>
      <c r="D29" s="13">
        <v>191</v>
      </c>
      <c r="E29" s="13" t="s">
        <v>381</v>
      </c>
      <c r="F29" s="13">
        <v>152</v>
      </c>
      <c r="G29" s="13"/>
      <c r="H29" s="13"/>
      <c r="I29" s="13"/>
      <c r="J29" s="13"/>
      <c r="K29" s="13"/>
      <c r="L29" s="13"/>
      <c r="M29" s="13"/>
      <c r="N29" s="13"/>
      <c r="O29" s="13"/>
    </row>
    <row r="30" spans="1:15" x14ac:dyDescent="0.35">
      <c r="A30" s="11" t="s">
        <v>484</v>
      </c>
      <c r="B30" s="13">
        <v>1347</v>
      </c>
      <c r="C30" s="13">
        <v>1282</v>
      </c>
      <c r="D30" s="13">
        <v>1147</v>
      </c>
      <c r="E30" s="13" t="s">
        <v>381</v>
      </c>
      <c r="F30" s="13">
        <v>897</v>
      </c>
      <c r="G30" s="13"/>
      <c r="H30" s="13"/>
      <c r="I30" s="13"/>
      <c r="J30" s="13"/>
      <c r="K30" s="13"/>
      <c r="L30" s="13"/>
      <c r="M30" s="13"/>
      <c r="N30" s="13"/>
      <c r="O30" s="13"/>
    </row>
    <row r="31" spans="1:15" x14ac:dyDescent="0.35">
      <c r="A31" s="11" t="s">
        <v>485</v>
      </c>
      <c r="B31" s="13">
        <v>144</v>
      </c>
      <c r="C31" s="13">
        <v>143</v>
      </c>
      <c r="D31" s="13">
        <v>119</v>
      </c>
      <c r="E31" s="13" t="s">
        <v>381</v>
      </c>
      <c r="F31" s="13">
        <v>107</v>
      </c>
      <c r="G31" s="13"/>
      <c r="H31" s="13"/>
      <c r="I31" s="13"/>
      <c r="J31" s="13"/>
      <c r="K31" s="13"/>
      <c r="L31" s="13"/>
      <c r="M31" s="13"/>
      <c r="N31" s="13"/>
      <c r="O31" s="13"/>
    </row>
    <row r="32" spans="1:15" x14ac:dyDescent="0.35">
      <c r="A32" s="11" t="s">
        <v>486</v>
      </c>
      <c r="B32" s="13">
        <v>68</v>
      </c>
      <c r="C32" s="13">
        <v>45</v>
      </c>
      <c r="D32" s="13">
        <v>45</v>
      </c>
      <c r="E32" s="13" t="s">
        <v>381</v>
      </c>
      <c r="F32" s="13">
        <v>40</v>
      </c>
      <c r="G32" s="13"/>
      <c r="H32" s="13"/>
      <c r="I32" s="13"/>
      <c r="J32" s="13"/>
      <c r="K32" s="13"/>
      <c r="L32" s="13"/>
      <c r="M32" s="13"/>
      <c r="N32" s="13"/>
      <c r="O32" s="13"/>
    </row>
    <row r="33" spans="1:15" x14ac:dyDescent="0.35">
      <c r="A33" s="11" t="s">
        <v>487</v>
      </c>
      <c r="B33" s="13">
        <v>142</v>
      </c>
      <c r="C33" s="13">
        <v>142</v>
      </c>
      <c r="D33" s="13">
        <v>131</v>
      </c>
      <c r="E33" s="13" t="s">
        <v>381</v>
      </c>
      <c r="F33" s="13">
        <v>82</v>
      </c>
      <c r="G33" s="13"/>
      <c r="H33" s="13"/>
      <c r="I33" s="13"/>
      <c r="J33" s="13"/>
      <c r="K33" s="13"/>
      <c r="L33" s="13"/>
      <c r="M33" s="13"/>
      <c r="N33" s="13"/>
      <c r="O33" s="13"/>
    </row>
    <row r="34" spans="1:15" x14ac:dyDescent="0.35">
      <c r="A34" s="11" t="s">
        <v>488</v>
      </c>
      <c r="B34" s="13">
        <v>55</v>
      </c>
      <c r="C34" s="13">
        <v>60</v>
      </c>
      <c r="D34" s="13">
        <v>43</v>
      </c>
      <c r="E34" s="13" t="s">
        <v>381</v>
      </c>
      <c r="F34" s="13">
        <v>47</v>
      </c>
      <c r="G34" s="13"/>
      <c r="H34" s="13"/>
      <c r="I34" s="13"/>
      <c r="J34" s="13"/>
      <c r="K34" s="13"/>
      <c r="L34" s="13"/>
      <c r="M34" s="13"/>
      <c r="N34" s="13"/>
      <c r="O34" s="13"/>
    </row>
    <row r="35" spans="1:15" x14ac:dyDescent="0.35">
      <c r="A35" s="11" t="s">
        <v>395</v>
      </c>
      <c r="B35" s="13">
        <v>3015</v>
      </c>
      <c r="C35" s="13">
        <v>2875</v>
      </c>
      <c r="D35" s="13">
        <v>2653</v>
      </c>
      <c r="E35" s="13" t="s">
        <v>381</v>
      </c>
      <c r="F35" s="13">
        <v>2180</v>
      </c>
      <c r="G35" s="13"/>
      <c r="H35" s="13"/>
      <c r="I35" s="13"/>
      <c r="J35" s="13"/>
      <c r="K35" s="13"/>
      <c r="L35" s="13"/>
      <c r="M35" s="13"/>
      <c r="N35" s="13"/>
      <c r="O35" s="13"/>
    </row>
    <row r="36" spans="1:15" x14ac:dyDescent="0.35">
      <c r="A36" s="11"/>
      <c r="B36" s="13"/>
      <c r="C36" s="13"/>
      <c r="D36" s="13"/>
      <c r="E36" s="13"/>
      <c r="F36" s="13"/>
      <c r="G36" s="13"/>
      <c r="H36" s="13"/>
      <c r="I36" s="13"/>
      <c r="J36" s="13"/>
      <c r="K36" s="13"/>
      <c r="L36" s="13"/>
      <c r="M36" s="13"/>
      <c r="N36" s="13"/>
      <c r="O36" s="13"/>
    </row>
    <row r="37" spans="1:15" x14ac:dyDescent="0.35">
      <c r="A37" s="11"/>
      <c r="B37" s="13"/>
      <c r="C37" s="13"/>
      <c r="D37" s="13"/>
      <c r="E37" s="13"/>
      <c r="F37" s="13"/>
      <c r="G37" s="13"/>
      <c r="H37" s="13"/>
      <c r="I37" s="13"/>
      <c r="J37" s="13"/>
      <c r="K37" s="13"/>
      <c r="L37" s="13"/>
      <c r="M37" s="13"/>
      <c r="N37" s="13"/>
      <c r="O37" s="13"/>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68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479</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67</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381</v>
      </c>
      <c r="H7" s="9" t="s">
        <v>394</v>
      </c>
      <c r="I7" s="9"/>
      <c r="J7" s="9"/>
      <c r="K7" s="9"/>
      <c r="L7" s="9"/>
      <c r="M7" s="9"/>
      <c r="N7" s="9"/>
      <c r="O7" s="9"/>
    </row>
    <row r="8" spans="1:15" x14ac:dyDescent="0.35">
      <c r="A8" s="8" t="s">
        <v>489</v>
      </c>
      <c r="B8" s="12">
        <v>152200</v>
      </c>
      <c r="C8" s="12">
        <v>221900</v>
      </c>
      <c r="D8" s="12">
        <v>252800</v>
      </c>
      <c r="E8" s="12">
        <v>217600</v>
      </c>
      <c r="F8" s="12">
        <v>215400</v>
      </c>
      <c r="G8" s="12" t="s">
        <v>396</v>
      </c>
      <c r="H8" s="12">
        <v>235400</v>
      </c>
      <c r="I8" s="12"/>
      <c r="J8" s="12"/>
      <c r="K8" s="12"/>
      <c r="L8" s="12"/>
      <c r="M8" s="12"/>
      <c r="N8" s="12"/>
      <c r="O8" s="12"/>
    </row>
    <row r="9" spans="1:15" x14ac:dyDescent="0.35">
      <c r="A9" s="11" t="s">
        <v>490</v>
      </c>
      <c r="B9" s="13">
        <v>89500</v>
      </c>
      <c r="C9" s="13">
        <v>88300</v>
      </c>
      <c r="D9" s="13">
        <v>97100</v>
      </c>
      <c r="E9" s="13">
        <v>100000</v>
      </c>
      <c r="F9" s="13">
        <v>80000</v>
      </c>
      <c r="G9" s="13" t="s">
        <v>396</v>
      </c>
      <c r="H9" s="13">
        <v>81300</v>
      </c>
      <c r="I9" s="13"/>
      <c r="J9" s="13"/>
      <c r="K9" s="13"/>
      <c r="L9" s="13"/>
      <c r="M9" s="13"/>
      <c r="N9" s="13"/>
      <c r="O9" s="13"/>
    </row>
    <row r="10" spans="1:15" x14ac:dyDescent="0.35">
      <c r="A10" s="11" t="s">
        <v>491</v>
      </c>
      <c r="B10" s="13">
        <v>68100</v>
      </c>
      <c r="C10" s="13">
        <v>45800</v>
      </c>
      <c r="D10" s="13">
        <v>47600</v>
      </c>
      <c r="E10" s="13">
        <v>35400</v>
      </c>
      <c r="F10" s="13">
        <v>37400</v>
      </c>
      <c r="G10" s="13" t="s">
        <v>396</v>
      </c>
      <c r="H10" s="13">
        <v>24500</v>
      </c>
      <c r="I10" s="13"/>
      <c r="J10" s="13"/>
      <c r="K10" s="13"/>
      <c r="L10" s="13"/>
      <c r="M10" s="13"/>
      <c r="N10" s="13"/>
      <c r="O10" s="13"/>
    </row>
    <row r="11" spans="1:15" x14ac:dyDescent="0.35">
      <c r="A11" s="11" t="s">
        <v>395</v>
      </c>
      <c r="B11" s="13">
        <v>86800</v>
      </c>
      <c r="C11" s="13">
        <v>99600</v>
      </c>
      <c r="D11" s="13">
        <v>110400</v>
      </c>
      <c r="E11" s="13">
        <v>113800</v>
      </c>
      <c r="F11" s="13">
        <v>106100</v>
      </c>
      <c r="G11" s="13" t="s">
        <v>396</v>
      </c>
      <c r="H11" s="13">
        <v>117600</v>
      </c>
      <c r="I11" s="13"/>
      <c r="J11" s="13"/>
      <c r="K11" s="13"/>
      <c r="L11" s="13"/>
      <c r="M11" s="13"/>
      <c r="N11" s="13"/>
      <c r="O11" s="13"/>
    </row>
    <row r="12" spans="1:15" ht="30" customHeight="1" x14ac:dyDescent="0.4">
      <c r="A12" s="5" t="s">
        <v>65</v>
      </c>
      <c r="B12" s="13"/>
      <c r="C12" s="13"/>
      <c r="D12" s="13"/>
      <c r="E12" s="13"/>
      <c r="F12" s="13"/>
      <c r="G12" s="13"/>
      <c r="H12" s="13"/>
      <c r="I12" s="13"/>
      <c r="J12" s="13"/>
      <c r="K12" s="13"/>
      <c r="L12" s="13"/>
      <c r="M12" s="13"/>
      <c r="N12" s="13"/>
      <c r="O12" s="13"/>
    </row>
    <row r="13" spans="1:15" x14ac:dyDescent="0.35">
      <c r="A13" s="11" t="s">
        <v>386</v>
      </c>
      <c r="B13" s="13" t="s">
        <v>389</v>
      </c>
      <c r="C13" s="13" t="s">
        <v>390</v>
      </c>
      <c r="D13" s="13" t="s">
        <v>391</v>
      </c>
      <c r="E13" s="13" t="s">
        <v>392</v>
      </c>
      <c r="F13" s="13" t="s">
        <v>393</v>
      </c>
      <c r="G13" s="13" t="s">
        <v>381</v>
      </c>
      <c r="H13" s="13" t="s">
        <v>394</v>
      </c>
      <c r="I13" s="13"/>
      <c r="J13" s="13"/>
      <c r="K13" s="13"/>
      <c r="L13" s="13"/>
      <c r="M13" s="13"/>
      <c r="N13" s="13"/>
      <c r="O13" s="13"/>
    </row>
    <row r="14" spans="1:15" x14ac:dyDescent="0.35">
      <c r="A14" s="8" t="s">
        <v>489</v>
      </c>
      <c r="B14" s="12">
        <v>39</v>
      </c>
      <c r="C14" s="12">
        <v>46</v>
      </c>
      <c r="D14" s="12">
        <v>45</v>
      </c>
      <c r="E14" s="12">
        <v>43</v>
      </c>
      <c r="F14" s="12">
        <v>44</v>
      </c>
      <c r="G14" s="12" t="s">
        <v>381</v>
      </c>
      <c r="H14" s="12">
        <v>46</v>
      </c>
      <c r="I14" s="12"/>
      <c r="J14" s="12"/>
      <c r="K14" s="12"/>
      <c r="L14" s="12"/>
      <c r="M14" s="12"/>
      <c r="N14" s="12"/>
      <c r="O14" s="12"/>
    </row>
    <row r="15" spans="1:15" x14ac:dyDescent="0.35">
      <c r="A15" s="11" t="s">
        <v>490</v>
      </c>
      <c r="B15" s="13">
        <v>46</v>
      </c>
      <c r="C15" s="13">
        <v>48</v>
      </c>
      <c r="D15" s="13">
        <v>48</v>
      </c>
      <c r="E15" s="13">
        <v>48</v>
      </c>
      <c r="F15" s="13">
        <v>49</v>
      </c>
      <c r="G15" s="13" t="s">
        <v>381</v>
      </c>
      <c r="H15" s="13">
        <v>52</v>
      </c>
      <c r="I15" s="13"/>
      <c r="J15" s="13"/>
      <c r="K15" s="13"/>
      <c r="L15" s="13"/>
      <c r="M15" s="13"/>
      <c r="N15" s="13"/>
      <c r="O15" s="13"/>
    </row>
    <row r="16" spans="1:15" x14ac:dyDescent="0.35">
      <c r="A16" s="11" t="s">
        <v>491</v>
      </c>
      <c r="B16" s="13">
        <v>61</v>
      </c>
      <c r="C16" s="13">
        <v>64</v>
      </c>
      <c r="D16" s="13">
        <v>65</v>
      </c>
      <c r="E16" s="13">
        <v>61</v>
      </c>
      <c r="F16" s="13">
        <v>64</v>
      </c>
      <c r="G16" s="13" t="s">
        <v>381</v>
      </c>
      <c r="H16" s="13">
        <v>65</v>
      </c>
      <c r="I16" s="13"/>
      <c r="J16" s="13"/>
      <c r="K16" s="13"/>
      <c r="L16" s="13"/>
      <c r="M16" s="13"/>
      <c r="N16" s="13"/>
      <c r="O16" s="13"/>
    </row>
    <row r="17" spans="1:15" x14ac:dyDescent="0.35">
      <c r="A17" s="11" t="s">
        <v>395</v>
      </c>
      <c r="B17" s="13">
        <v>48</v>
      </c>
      <c r="C17" s="13">
        <v>50</v>
      </c>
      <c r="D17" s="13">
        <v>50</v>
      </c>
      <c r="E17" s="13">
        <v>49</v>
      </c>
      <c r="F17" s="13">
        <v>50</v>
      </c>
      <c r="G17" s="13" t="s">
        <v>381</v>
      </c>
      <c r="H17" s="13">
        <v>52</v>
      </c>
      <c r="I17" s="13"/>
      <c r="J17" s="13"/>
      <c r="K17" s="13"/>
      <c r="L17" s="13"/>
      <c r="M17" s="13"/>
      <c r="N17" s="13"/>
      <c r="O17" s="13"/>
    </row>
    <row r="18" spans="1:15" ht="30" customHeight="1" x14ac:dyDescent="0.4">
      <c r="A18" s="5" t="s">
        <v>66</v>
      </c>
      <c r="B18" s="13"/>
      <c r="C18" s="13"/>
      <c r="D18" s="13"/>
      <c r="E18" s="13"/>
      <c r="F18" s="13"/>
      <c r="G18" s="13"/>
      <c r="H18" s="13"/>
      <c r="I18" s="13"/>
      <c r="J18" s="13"/>
      <c r="K18" s="13"/>
      <c r="L18" s="13"/>
      <c r="M18" s="13"/>
      <c r="N18" s="13"/>
      <c r="O18" s="13"/>
    </row>
    <row r="19" spans="1:15" x14ac:dyDescent="0.35">
      <c r="A19" s="11" t="s">
        <v>386</v>
      </c>
      <c r="B19" s="13" t="s">
        <v>389</v>
      </c>
      <c r="C19" s="13" t="s">
        <v>390</v>
      </c>
      <c r="D19" s="13" t="s">
        <v>391</v>
      </c>
      <c r="E19" s="13" t="s">
        <v>392</v>
      </c>
      <c r="F19" s="13" t="s">
        <v>393</v>
      </c>
      <c r="G19" s="13" t="s">
        <v>381</v>
      </c>
      <c r="H19" s="13" t="s">
        <v>394</v>
      </c>
      <c r="I19" s="13"/>
      <c r="J19" s="13"/>
      <c r="K19" s="13"/>
      <c r="L19" s="13"/>
      <c r="M19" s="13"/>
      <c r="N19" s="13"/>
      <c r="O19" s="13"/>
    </row>
    <row r="20" spans="1:15" x14ac:dyDescent="0.35">
      <c r="A20" s="8" t="s">
        <v>489</v>
      </c>
      <c r="B20" s="12">
        <v>771</v>
      </c>
      <c r="C20" s="12">
        <v>811</v>
      </c>
      <c r="D20" s="12">
        <v>816</v>
      </c>
      <c r="E20" s="12">
        <v>794</v>
      </c>
      <c r="F20" s="12">
        <v>861</v>
      </c>
      <c r="G20" s="12" t="s">
        <v>381</v>
      </c>
      <c r="H20" s="12">
        <v>802</v>
      </c>
      <c r="I20" s="12"/>
      <c r="J20" s="12"/>
      <c r="K20" s="12"/>
      <c r="L20" s="12"/>
      <c r="M20" s="12"/>
      <c r="N20" s="12"/>
      <c r="O20" s="12"/>
    </row>
    <row r="21" spans="1:15" x14ac:dyDescent="0.35">
      <c r="A21" s="11" t="s">
        <v>490</v>
      </c>
      <c r="B21" s="13">
        <v>1860</v>
      </c>
      <c r="C21" s="13">
        <v>1750</v>
      </c>
      <c r="D21" s="13">
        <v>1504</v>
      </c>
      <c r="E21" s="13">
        <v>1498</v>
      </c>
      <c r="F21" s="13">
        <v>1405</v>
      </c>
      <c r="G21" s="13" t="s">
        <v>381</v>
      </c>
      <c r="H21" s="13">
        <v>1100</v>
      </c>
      <c r="I21" s="13"/>
      <c r="J21" s="13"/>
      <c r="K21" s="13"/>
      <c r="L21" s="13"/>
      <c r="M21" s="13"/>
      <c r="N21" s="13"/>
      <c r="O21" s="13"/>
    </row>
    <row r="22" spans="1:15" x14ac:dyDescent="0.35">
      <c r="A22" s="11" t="s">
        <v>491</v>
      </c>
      <c r="B22" s="13">
        <v>1004</v>
      </c>
      <c r="C22" s="13">
        <v>737</v>
      </c>
      <c r="D22" s="13">
        <v>652</v>
      </c>
      <c r="E22" s="13">
        <v>541</v>
      </c>
      <c r="F22" s="13">
        <v>358</v>
      </c>
      <c r="G22" s="13" t="s">
        <v>381</v>
      </c>
      <c r="H22" s="13">
        <v>249</v>
      </c>
      <c r="I22" s="13"/>
      <c r="J22" s="13"/>
      <c r="K22" s="13"/>
      <c r="L22" s="13"/>
      <c r="M22" s="13"/>
      <c r="N22" s="13"/>
      <c r="O22" s="13"/>
    </row>
    <row r="23" spans="1:15" x14ac:dyDescent="0.35">
      <c r="A23" s="11" t="s">
        <v>395</v>
      </c>
      <c r="B23" s="13">
        <v>3635</v>
      </c>
      <c r="C23" s="13">
        <v>3298</v>
      </c>
      <c r="D23" s="13">
        <v>2972</v>
      </c>
      <c r="E23" s="13">
        <v>2833</v>
      </c>
      <c r="F23" s="13">
        <v>2624</v>
      </c>
      <c r="G23" s="13" t="s">
        <v>381</v>
      </c>
      <c r="H23" s="13">
        <v>2151</v>
      </c>
      <c r="I23" s="13"/>
      <c r="J23" s="13"/>
      <c r="K23" s="13"/>
      <c r="L23" s="13"/>
      <c r="M23" s="13"/>
      <c r="N23" s="13"/>
      <c r="O23" s="13"/>
    </row>
    <row r="24" spans="1:15" x14ac:dyDescent="0.35">
      <c r="A24" s="11"/>
      <c r="B24" s="13"/>
      <c r="C24" s="13"/>
      <c r="D24" s="13"/>
      <c r="E24" s="13"/>
      <c r="F24" s="13"/>
      <c r="G24" s="13"/>
      <c r="H24" s="13"/>
      <c r="I24" s="13"/>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72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479</v>
      </c>
      <c r="B4" s="9"/>
      <c r="C4" s="9"/>
      <c r="D4" s="9"/>
      <c r="E4" s="9"/>
      <c r="F4" s="9"/>
      <c r="G4" s="9"/>
      <c r="H4" s="9"/>
      <c r="I4" s="9"/>
      <c r="J4" s="9"/>
      <c r="K4" s="9"/>
      <c r="L4" s="9"/>
      <c r="M4" s="9"/>
      <c r="N4" s="9"/>
      <c r="O4" s="9"/>
    </row>
    <row r="5" spans="1:15" ht="29" x14ac:dyDescent="0.35">
      <c r="A5" s="8" t="s">
        <v>492</v>
      </c>
      <c r="B5" s="9"/>
      <c r="C5" s="9"/>
      <c r="D5" s="9"/>
      <c r="E5" s="9"/>
      <c r="F5" s="9"/>
      <c r="G5" s="9"/>
      <c r="H5" s="9"/>
      <c r="I5" s="9"/>
      <c r="J5" s="9"/>
      <c r="K5" s="9"/>
      <c r="L5" s="9"/>
      <c r="M5" s="9"/>
      <c r="N5" s="9"/>
      <c r="O5" s="9"/>
    </row>
    <row r="6" spans="1:15" x14ac:dyDescent="0.35">
      <c r="A6" s="10" t="s">
        <v>0</v>
      </c>
      <c r="B6" s="9"/>
      <c r="C6" s="9"/>
      <c r="D6" s="9"/>
      <c r="E6" s="9"/>
      <c r="F6" s="9"/>
      <c r="G6" s="9"/>
      <c r="H6" s="9"/>
      <c r="I6" s="9"/>
      <c r="J6" s="9"/>
      <c r="K6" s="9"/>
      <c r="L6" s="9"/>
      <c r="M6" s="9"/>
      <c r="N6" s="9"/>
      <c r="O6" s="9"/>
    </row>
    <row r="7" spans="1:15" ht="30" customHeight="1" x14ac:dyDescent="0.4">
      <c r="A7" s="5" t="s">
        <v>71</v>
      </c>
      <c r="B7" s="9"/>
      <c r="C7" s="9"/>
      <c r="D7" s="9"/>
      <c r="E7" s="9"/>
      <c r="F7" s="9"/>
      <c r="G7" s="9"/>
      <c r="H7" s="9"/>
      <c r="I7" s="9"/>
      <c r="J7" s="9"/>
      <c r="K7" s="9"/>
      <c r="L7" s="9"/>
      <c r="M7" s="9"/>
      <c r="N7" s="9"/>
      <c r="O7" s="9"/>
    </row>
    <row r="8" spans="1:15" x14ac:dyDescent="0.35">
      <c r="A8" s="11" t="s">
        <v>386</v>
      </c>
      <c r="B8" s="9" t="s">
        <v>389</v>
      </c>
      <c r="C8" s="9" t="s">
        <v>390</v>
      </c>
      <c r="D8" s="9" t="s">
        <v>391</v>
      </c>
      <c r="E8" s="9" t="s">
        <v>392</v>
      </c>
      <c r="F8" s="9" t="s">
        <v>393</v>
      </c>
      <c r="G8" s="9" t="s">
        <v>381</v>
      </c>
      <c r="H8" s="9" t="s">
        <v>394</v>
      </c>
      <c r="I8" s="9"/>
      <c r="J8" s="9"/>
      <c r="K8" s="9"/>
      <c r="L8" s="9"/>
      <c r="M8" s="9"/>
      <c r="N8" s="9"/>
      <c r="O8" s="9"/>
    </row>
    <row r="9" spans="1:15" x14ac:dyDescent="0.35">
      <c r="A9" s="8" t="s">
        <v>493</v>
      </c>
      <c r="B9" s="12">
        <v>143500</v>
      </c>
      <c r="C9" s="12">
        <v>153200</v>
      </c>
      <c r="D9" s="12">
        <v>169800</v>
      </c>
      <c r="E9" s="12">
        <v>186900</v>
      </c>
      <c r="F9" s="12">
        <v>185800</v>
      </c>
      <c r="G9" s="12" t="s">
        <v>396</v>
      </c>
      <c r="H9" s="12">
        <v>198100</v>
      </c>
      <c r="I9" s="12"/>
      <c r="J9" s="12"/>
      <c r="K9" s="12"/>
      <c r="L9" s="12"/>
      <c r="M9" s="12"/>
      <c r="N9" s="12"/>
      <c r="O9" s="12"/>
    </row>
    <row r="10" spans="1:15" x14ac:dyDescent="0.35">
      <c r="A10" s="11" t="s">
        <v>494</v>
      </c>
      <c r="B10" s="13">
        <v>129000</v>
      </c>
      <c r="C10" s="13">
        <v>146200</v>
      </c>
      <c r="D10" s="13">
        <v>137500</v>
      </c>
      <c r="E10" s="13">
        <v>169000</v>
      </c>
      <c r="F10" s="13">
        <v>182000</v>
      </c>
      <c r="G10" s="13" t="s">
        <v>396</v>
      </c>
      <c r="H10" s="13">
        <v>209500</v>
      </c>
      <c r="I10" s="13"/>
      <c r="J10" s="13"/>
      <c r="K10" s="13"/>
      <c r="L10" s="13"/>
      <c r="M10" s="13"/>
      <c r="N10" s="13"/>
      <c r="O10" s="13"/>
    </row>
    <row r="11" spans="1:15" x14ac:dyDescent="0.35">
      <c r="A11" s="11" t="s">
        <v>495</v>
      </c>
      <c r="B11" s="13">
        <v>55900</v>
      </c>
      <c r="C11" s="13">
        <v>70800</v>
      </c>
      <c r="D11" s="13">
        <v>99400</v>
      </c>
      <c r="E11" s="13">
        <v>134700</v>
      </c>
      <c r="F11" s="13">
        <v>111300</v>
      </c>
      <c r="G11" s="13" t="s">
        <v>396</v>
      </c>
      <c r="H11" s="13">
        <v>96500</v>
      </c>
      <c r="I11" s="13"/>
      <c r="J11" s="13"/>
      <c r="K11" s="13"/>
      <c r="L11" s="13"/>
      <c r="M11" s="13"/>
      <c r="N11" s="13"/>
      <c r="O11" s="13"/>
    </row>
    <row r="12" spans="1:15" x14ac:dyDescent="0.35">
      <c r="A12" s="11" t="s">
        <v>496</v>
      </c>
      <c r="B12" s="13">
        <v>39600</v>
      </c>
      <c r="C12" s="13">
        <v>46300</v>
      </c>
      <c r="D12" s="13">
        <v>74200</v>
      </c>
      <c r="E12" s="13">
        <v>39700</v>
      </c>
      <c r="F12" s="13">
        <v>33800</v>
      </c>
      <c r="G12" s="13" t="s">
        <v>396</v>
      </c>
      <c r="H12" s="13">
        <v>51900</v>
      </c>
      <c r="I12" s="13"/>
      <c r="J12" s="13"/>
      <c r="K12" s="13"/>
      <c r="L12" s="13"/>
      <c r="M12" s="13"/>
      <c r="N12" s="13"/>
      <c r="O12" s="13"/>
    </row>
    <row r="13" spans="1:15" x14ac:dyDescent="0.35">
      <c r="A13" s="11" t="s">
        <v>497</v>
      </c>
      <c r="B13" s="13">
        <v>20600</v>
      </c>
      <c r="C13" s="13">
        <v>19700</v>
      </c>
      <c r="D13" s="13">
        <v>25300</v>
      </c>
      <c r="E13" s="13">
        <v>22700</v>
      </c>
      <c r="F13" s="13">
        <v>26100</v>
      </c>
      <c r="G13" s="13" t="s">
        <v>396</v>
      </c>
      <c r="H13" s="13">
        <v>26600</v>
      </c>
      <c r="I13" s="13"/>
      <c r="J13" s="13"/>
      <c r="K13" s="13"/>
      <c r="L13" s="13"/>
      <c r="M13" s="13"/>
      <c r="N13" s="13"/>
      <c r="O13" s="13"/>
    </row>
    <row r="14" spans="1:15" x14ac:dyDescent="0.35">
      <c r="A14" s="11" t="s">
        <v>395</v>
      </c>
      <c r="B14" s="13">
        <v>85000</v>
      </c>
      <c r="C14" s="13">
        <v>96900</v>
      </c>
      <c r="D14" s="13">
        <v>107600</v>
      </c>
      <c r="E14" s="13">
        <v>110900</v>
      </c>
      <c r="F14" s="13">
        <v>104900</v>
      </c>
      <c r="G14" s="13" t="s">
        <v>396</v>
      </c>
      <c r="H14" s="13">
        <v>115000</v>
      </c>
      <c r="I14" s="13"/>
      <c r="J14" s="13"/>
      <c r="K14" s="13"/>
      <c r="L14" s="13"/>
      <c r="M14" s="13"/>
      <c r="N14" s="13"/>
      <c r="O14" s="13"/>
    </row>
    <row r="15" spans="1:15" ht="30" customHeight="1" x14ac:dyDescent="0.4">
      <c r="A15" s="5" t="s">
        <v>69</v>
      </c>
      <c r="B15" s="13"/>
      <c r="C15" s="13"/>
      <c r="D15" s="13"/>
      <c r="E15" s="13"/>
      <c r="F15" s="13"/>
      <c r="G15" s="13"/>
      <c r="H15" s="13"/>
      <c r="I15" s="13"/>
      <c r="J15" s="13"/>
      <c r="K15" s="13"/>
      <c r="L15" s="13"/>
      <c r="M15" s="13"/>
      <c r="N15" s="13"/>
      <c r="O15" s="13"/>
    </row>
    <row r="16" spans="1:15" x14ac:dyDescent="0.35">
      <c r="A16" s="11" t="s">
        <v>386</v>
      </c>
      <c r="B16" s="13" t="s">
        <v>389</v>
      </c>
      <c r="C16" s="13" t="s">
        <v>390</v>
      </c>
      <c r="D16" s="13" t="s">
        <v>391</v>
      </c>
      <c r="E16" s="13" t="s">
        <v>392</v>
      </c>
      <c r="F16" s="13" t="s">
        <v>393</v>
      </c>
      <c r="G16" s="13" t="s">
        <v>381</v>
      </c>
      <c r="H16" s="13" t="s">
        <v>394</v>
      </c>
      <c r="I16" s="13"/>
      <c r="J16" s="13"/>
      <c r="K16" s="13"/>
      <c r="L16" s="13"/>
      <c r="M16" s="13"/>
      <c r="N16" s="13"/>
      <c r="O16" s="13"/>
    </row>
    <row r="17" spans="1:15" x14ac:dyDescent="0.35">
      <c r="A17" s="8" t="s">
        <v>493</v>
      </c>
      <c r="B17" s="12">
        <v>52</v>
      </c>
      <c r="C17" s="12">
        <v>54</v>
      </c>
      <c r="D17" s="12">
        <v>53</v>
      </c>
      <c r="E17" s="12">
        <v>52</v>
      </c>
      <c r="F17" s="12">
        <v>53</v>
      </c>
      <c r="G17" s="12" t="s">
        <v>381</v>
      </c>
      <c r="H17" s="12">
        <v>55</v>
      </c>
      <c r="I17" s="12"/>
      <c r="J17" s="12"/>
      <c r="K17" s="12"/>
      <c r="L17" s="12"/>
      <c r="M17" s="12"/>
      <c r="N17" s="12"/>
      <c r="O17" s="12"/>
    </row>
    <row r="18" spans="1:15" x14ac:dyDescent="0.35">
      <c r="A18" s="11" t="s">
        <v>494</v>
      </c>
      <c r="B18" s="13">
        <v>77</v>
      </c>
      <c r="C18" s="13">
        <v>77</v>
      </c>
      <c r="D18" s="13">
        <v>77</v>
      </c>
      <c r="E18" s="13">
        <v>78</v>
      </c>
      <c r="F18" s="13">
        <v>75</v>
      </c>
      <c r="G18" s="13" t="s">
        <v>381</v>
      </c>
      <c r="H18" s="13">
        <v>78</v>
      </c>
      <c r="I18" s="13"/>
      <c r="J18" s="13"/>
      <c r="K18" s="13"/>
      <c r="L18" s="13"/>
      <c r="M18" s="13"/>
      <c r="N18" s="13"/>
      <c r="O18" s="13"/>
    </row>
    <row r="19" spans="1:15" x14ac:dyDescent="0.35">
      <c r="A19" s="11" t="s">
        <v>495</v>
      </c>
      <c r="B19" s="13">
        <v>54</v>
      </c>
      <c r="C19" s="13">
        <v>56</v>
      </c>
      <c r="D19" s="13">
        <v>59</v>
      </c>
      <c r="E19" s="13">
        <v>59</v>
      </c>
      <c r="F19" s="13">
        <v>58</v>
      </c>
      <c r="G19" s="13" t="s">
        <v>381</v>
      </c>
      <c r="H19" s="13">
        <v>60</v>
      </c>
      <c r="I19" s="13"/>
      <c r="J19" s="13"/>
      <c r="K19" s="13"/>
      <c r="L19" s="13"/>
      <c r="M19" s="13"/>
      <c r="N19" s="13"/>
      <c r="O19" s="13"/>
    </row>
    <row r="20" spans="1:15" x14ac:dyDescent="0.35">
      <c r="A20" s="11" t="s">
        <v>496</v>
      </c>
      <c r="B20" s="13">
        <v>36</v>
      </c>
      <c r="C20" s="13">
        <v>38</v>
      </c>
      <c r="D20" s="13">
        <v>41</v>
      </c>
      <c r="E20" s="13">
        <v>35</v>
      </c>
      <c r="F20" s="13">
        <v>34</v>
      </c>
      <c r="G20" s="13" t="s">
        <v>381</v>
      </c>
      <c r="H20" s="13">
        <v>35</v>
      </c>
      <c r="I20" s="13"/>
      <c r="J20" s="13"/>
      <c r="K20" s="13"/>
      <c r="L20" s="13"/>
      <c r="M20" s="13"/>
      <c r="N20" s="13"/>
      <c r="O20" s="13"/>
    </row>
    <row r="21" spans="1:15" x14ac:dyDescent="0.35">
      <c r="A21" s="11" t="s">
        <v>497</v>
      </c>
      <c r="B21" s="13">
        <v>26</v>
      </c>
      <c r="C21" s="13">
        <v>27</v>
      </c>
      <c r="D21" s="13">
        <v>28</v>
      </c>
      <c r="E21" s="13">
        <v>29</v>
      </c>
      <c r="F21" s="13">
        <v>28</v>
      </c>
      <c r="G21" s="13" t="s">
        <v>381</v>
      </c>
      <c r="H21" s="13">
        <v>29</v>
      </c>
      <c r="I21" s="13"/>
      <c r="J21" s="13"/>
      <c r="K21" s="13"/>
      <c r="L21" s="13"/>
      <c r="M21" s="13"/>
      <c r="N21" s="13"/>
      <c r="O21" s="13"/>
    </row>
    <row r="22" spans="1:15" x14ac:dyDescent="0.35">
      <c r="A22" s="11" t="s">
        <v>395</v>
      </c>
      <c r="B22" s="13">
        <v>47</v>
      </c>
      <c r="C22" s="13">
        <v>50</v>
      </c>
      <c r="D22" s="13">
        <v>50</v>
      </c>
      <c r="E22" s="13">
        <v>49</v>
      </c>
      <c r="F22" s="13">
        <v>50</v>
      </c>
      <c r="G22" s="13" t="s">
        <v>381</v>
      </c>
      <c r="H22" s="13">
        <v>51</v>
      </c>
      <c r="I22" s="13"/>
      <c r="J22" s="13"/>
      <c r="K22" s="13"/>
      <c r="L22" s="13"/>
      <c r="M22" s="13"/>
      <c r="N22" s="13"/>
      <c r="O22" s="13"/>
    </row>
    <row r="23" spans="1:15" ht="30" customHeight="1" x14ac:dyDescent="0.4">
      <c r="A23" s="5" t="s">
        <v>70</v>
      </c>
      <c r="B23" s="13"/>
      <c r="C23" s="13"/>
      <c r="D23" s="13"/>
      <c r="E23" s="13"/>
      <c r="F23" s="13"/>
      <c r="G23" s="13"/>
      <c r="H23" s="13"/>
      <c r="I23" s="13"/>
      <c r="J23" s="13"/>
      <c r="K23" s="13"/>
      <c r="L23" s="13"/>
      <c r="M23" s="13"/>
      <c r="N23" s="13"/>
      <c r="O23" s="13"/>
    </row>
    <row r="24" spans="1:15" x14ac:dyDescent="0.35">
      <c r="A24" s="11" t="s">
        <v>386</v>
      </c>
      <c r="B24" s="13" t="s">
        <v>389</v>
      </c>
      <c r="C24" s="13" t="s">
        <v>390</v>
      </c>
      <c r="D24" s="13" t="s">
        <v>391</v>
      </c>
      <c r="E24" s="13" t="s">
        <v>392</v>
      </c>
      <c r="F24" s="13" t="s">
        <v>393</v>
      </c>
      <c r="G24" s="13" t="s">
        <v>381</v>
      </c>
      <c r="H24" s="13" t="s">
        <v>394</v>
      </c>
      <c r="I24" s="13"/>
      <c r="J24" s="13"/>
      <c r="K24" s="13"/>
      <c r="L24" s="13"/>
      <c r="M24" s="13"/>
      <c r="N24" s="13"/>
      <c r="O24" s="13"/>
    </row>
    <row r="25" spans="1:15" x14ac:dyDescent="0.35">
      <c r="A25" s="8" t="s">
        <v>493</v>
      </c>
      <c r="B25" s="12">
        <v>2108</v>
      </c>
      <c r="C25" s="12">
        <v>1905</v>
      </c>
      <c r="D25" s="12">
        <v>1686</v>
      </c>
      <c r="E25" s="12">
        <v>1600</v>
      </c>
      <c r="F25" s="12">
        <v>1500</v>
      </c>
      <c r="G25" s="12" t="s">
        <v>381</v>
      </c>
      <c r="H25" s="12">
        <v>1262</v>
      </c>
      <c r="I25" s="12"/>
      <c r="J25" s="12"/>
      <c r="K25" s="12"/>
      <c r="L25" s="12"/>
      <c r="M25" s="12"/>
      <c r="N25" s="12"/>
      <c r="O25" s="12"/>
    </row>
    <row r="26" spans="1:15" x14ac:dyDescent="0.35">
      <c r="A26" s="11" t="s">
        <v>494</v>
      </c>
      <c r="B26" s="13">
        <v>294</v>
      </c>
      <c r="C26" s="13">
        <v>298</v>
      </c>
      <c r="D26" s="13">
        <v>250</v>
      </c>
      <c r="E26" s="13">
        <v>227</v>
      </c>
      <c r="F26" s="13">
        <v>251</v>
      </c>
      <c r="G26" s="13" t="s">
        <v>381</v>
      </c>
      <c r="H26" s="13">
        <v>192</v>
      </c>
      <c r="I26" s="13"/>
      <c r="J26" s="13"/>
      <c r="K26" s="13"/>
      <c r="L26" s="13"/>
      <c r="M26" s="13"/>
      <c r="N26" s="13"/>
      <c r="O26" s="13"/>
    </row>
    <row r="27" spans="1:15" x14ac:dyDescent="0.35">
      <c r="A27" s="11" t="s">
        <v>495</v>
      </c>
      <c r="B27" s="13">
        <v>299</v>
      </c>
      <c r="C27" s="13">
        <v>275</v>
      </c>
      <c r="D27" s="13">
        <v>255</v>
      </c>
      <c r="E27" s="13">
        <v>254</v>
      </c>
      <c r="F27" s="13">
        <v>233</v>
      </c>
      <c r="G27" s="13" t="s">
        <v>381</v>
      </c>
      <c r="H27" s="13">
        <v>184</v>
      </c>
      <c r="I27" s="13"/>
      <c r="J27" s="13"/>
      <c r="K27" s="13"/>
      <c r="L27" s="13"/>
      <c r="M27" s="13"/>
      <c r="N27" s="13"/>
      <c r="O27" s="13"/>
    </row>
    <row r="28" spans="1:15" x14ac:dyDescent="0.35">
      <c r="A28" s="11" t="s">
        <v>496</v>
      </c>
      <c r="B28" s="13">
        <v>294</v>
      </c>
      <c r="C28" s="13">
        <v>286</v>
      </c>
      <c r="D28" s="13">
        <v>254</v>
      </c>
      <c r="E28" s="13">
        <v>258</v>
      </c>
      <c r="F28" s="13">
        <v>203</v>
      </c>
      <c r="G28" s="13" t="s">
        <v>381</v>
      </c>
      <c r="H28" s="13">
        <v>158</v>
      </c>
      <c r="I28" s="13"/>
      <c r="J28" s="13"/>
      <c r="K28" s="13"/>
      <c r="L28" s="13"/>
      <c r="M28" s="13"/>
      <c r="N28" s="13"/>
      <c r="O28" s="13"/>
    </row>
    <row r="29" spans="1:15" x14ac:dyDescent="0.35">
      <c r="A29" s="11" t="s">
        <v>497</v>
      </c>
      <c r="B29" s="13">
        <v>713</v>
      </c>
      <c r="C29" s="13">
        <v>583</v>
      </c>
      <c r="D29" s="13">
        <v>570</v>
      </c>
      <c r="E29" s="13">
        <v>538</v>
      </c>
      <c r="F29" s="13">
        <v>472</v>
      </c>
      <c r="G29" s="13" t="s">
        <v>381</v>
      </c>
      <c r="H29" s="13">
        <v>388</v>
      </c>
      <c r="I29" s="13"/>
      <c r="J29" s="13"/>
      <c r="K29" s="13"/>
      <c r="L29" s="13"/>
      <c r="M29" s="13"/>
      <c r="N29" s="13"/>
      <c r="O29" s="13"/>
    </row>
    <row r="30" spans="1:15" x14ac:dyDescent="0.35">
      <c r="A30" s="11" t="s">
        <v>395</v>
      </c>
      <c r="B30" s="13">
        <v>3708</v>
      </c>
      <c r="C30" s="13">
        <v>3347</v>
      </c>
      <c r="D30" s="13">
        <v>3015</v>
      </c>
      <c r="E30" s="13">
        <v>2877</v>
      </c>
      <c r="F30" s="13">
        <v>2659</v>
      </c>
      <c r="G30" s="13" t="s">
        <v>381</v>
      </c>
      <c r="H30" s="13">
        <v>2184</v>
      </c>
      <c r="I30" s="13"/>
      <c r="J30" s="13"/>
      <c r="K30" s="13"/>
      <c r="L30" s="13"/>
      <c r="M30" s="13"/>
      <c r="N30" s="13"/>
      <c r="O30" s="13"/>
    </row>
    <row r="31" spans="1:15" x14ac:dyDescent="0.35">
      <c r="A31" s="11"/>
      <c r="B31" s="13"/>
      <c r="C31" s="13"/>
      <c r="D31" s="13"/>
      <c r="E31" s="13"/>
      <c r="F31" s="13"/>
      <c r="G31" s="13"/>
      <c r="H31" s="13"/>
      <c r="I31" s="13"/>
      <c r="J31" s="13"/>
      <c r="K31" s="13"/>
      <c r="L31" s="13"/>
      <c r="M31" s="13"/>
      <c r="N31" s="13"/>
      <c r="O31" s="13"/>
    </row>
    <row r="32" spans="1:15" x14ac:dyDescent="0.35">
      <c r="A32" s="11"/>
      <c r="B32" s="13"/>
      <c r="C32" s="13"/>
      <c r="D32" s="13"/>
      <c r="E32" s="13"/>
      <c r="F32" s="13"/>
      <c r="G32" s="13"/>
      <c r="H32" s="13"/>
      <c r="I32" s="13"/>
      <c r="J32" s="13"/>
      <c r="K32" s="13"/>
      <c r="L32" s="13"/>
      <c r="M32" s="13"/>
      <c r="N32" s="13"/>
      <c r="O32" s="13"/>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76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ht="29" x14ac:dyDescent="0.35">
      <c r="A4" s="8" t="s">
        <v>498</v>
      </c>
      <c r="B4" s="9"/>
      <c r="C4" s="9"/>
      <c r="D4" s="9"/>
      <c r="E4" s="9"/>
      <c r="F4" s="9"/>
      <c r="G4" s="9"/>
      <c r="H4" s="9"/>
      <c r="I4" s="9"/>
      <c r="J4" s="9"/>
      <c r="K4" s="9"/>
      <c r="L4" s="9"/>
      <c r="M4" s="9"/>
      <c r="N4" s="9"/>
      <c r="O4" s="9"/>
    </row>
    <row r="5" spans="1:15" x14ac:dyDescent="0.35">
      <c r="A5" s="8" t="s">
        <v>499</v>
      </c>
      <c r="B5" s="9"/>
      <c r="C5" s="9"/>
      <c r="D5" s="9"/>
      <c r="E5" s="9"/>
      <c r="F5" s="9"/>
      <c r="G5" s="9"/>
      <c r="H5" s="9"/>
      <c r="I5" s="9"/>
      <c r="J5" s="9"/>
      <c r="K5" s="9"/>
      <c r="L5" s="9"/>
      <c r="M5" s="9"/>
      <c r="N5" s="9"/>
      <c r="O5" s="9"/>
    </row>
    <row r="6" spans="1:15" ht="29" x14ac:dyDescent="0.35">
      <c r="A6" s="8" t="s">
        <v>500</v>
      </c>
      <c r="B6" s="9"/>
      <c r="C6" s="9"/>
      <c r="D6" s="9"/>
      <c r="E6" s="9"/>
      <c r="F6" s="9"/>
      <c r="G6" s="9"/>
      <c r="H6" s="9"/>
      <c r="I6" s="9"/>
      <c r="J6" s="9"/>
      <c r="K6" s="9"/>
      <c r="L6" s="9"/>
      <c r="M6" s="9"/>
      <c r="N6" s="9"/>
      <c r="O6" s="9"/>
    </row>
    <row r="7" spans="1:15" x14ac:dyDescent="0.35">
      <c r="A7" s="10" t="s">
        <v>0</v>
      </c>
      <c r="B7" s="9"/>
      <c r="C7" s="9"/>
      <c r="D7" s="9"/>
      <c r="E7" s="9"/>
      <c r="F7" s="9"/>
      <c r="G7" s="9"/>
      <c r="H7" s="9"/>
      <c r="I7" s="9"/>
      <c r="J7" s="9"/>
      <c r="K7" s="9"/>
      <c r="L7" s="9"/>
      <c r="M7" s="9"/>
      <c r="N7" s="9"/>
      <c r="O7" s="9"/>
    </row>
    <row r="8" spans="1:15" ht="30" customHeight="1" x14ac:dyDescent="0.4">
      <c r="A8" s="5" t="s">
        <v>75</v>
      </c>
      <c r="B8" s="9"/>
      <c r="C8" s="9"/>
      <c r="D8" s="9"/>
      <c r="E8" s="9"/>
      <c r="F8" s="9"/>
      <c r="G8" s="9"/>
      <c r="H8" s="9"/>
      <c r="I8" s="9"/>
      <c r="J8" s="9"/>
      <c r="K8" s="9"/>
      <c r="L8" s="9"/>
      <c r="M8" s="9"/>
      <c r="N8" s="9"/>
      <c r="O8" s="9"/>
    </row>
    <row r="9" spans="1:15" x14ac:dyDescent="0.35">
      <c r="A9" s="11" t="s">
        <v>386</v>
      </c>
      <c r="B9" s="9" t="s">
        <v>391</v>
      </c>
      <c r="C9" s="9" t="s">
        <v>392</v>
      </c>
      <c r="D9" s="9" t="s">
        <v>393</v>
      </c>
      <c r="E9" s="9" t="s">
        <v>381</v>
      </c>
      <c r="F9" s="9" t="s">
        <v>394</v>
      </c>
      <c r="G9" s="9"/>
      <c r="H9" s="9"/>
      <c r="I9" s="9"/>
      <c r="J9" s="9"/>
      <c r="K9" s="9"/>
      <c r="L9" s="9"/>
      <c r="M9" s="9"/>
      <c r="N9" s="9"/>
      <c r="O9" s="9"/>
    </row>
    <row r="10" spans="1:15" x14ac:dyDescent="0.35">
      <c r="A10" s="8" t="s">
        <v>501</v>
      </c>
      <c r="B10" s="12">
        <v>123200</v>
      </c>
      <c r="C10" s="12">
        <v>142000</v>
      </c>
      <c r="D10" s="12">
        <v>131500</v>
      </c>
      <c r="E10" s="12" t="s">
        <v>396</v>
      </c>
      <c r="F10" s="12" t="s">
        <v>502</v>
      </c>
      <c r="G10" s="12"/>
      <c r="H10" s="12"/>
      <c r="I10" s="12"/>
      <c r="J10" s="12"/>
      <c r="K10" s="12"/>
      <c r="L10" s="12"/>
      <c r="M10" s="12"/>
      <c r="N10" s="12"/>
      <c r="O10" s="12"/>
    </row>
    <row r="11" spans="1:15" x14ac:dyDescent="0.35">
      <c r="A11" s="11" t="s">
        <v>503</v>
      </c>
      <c r="B11" s="13">
        <v>79100</v>
      </c>
      <c r="C11" s="13">
        <v>99000</v>
      </c>
      <c r="D11" s="13">
        <v>165700</v>
      </c>
      <c r="E11" s="13" t="s">
        <v>396</v>
      </c>
      <c r="F11" s="13" t="s">
        <v>502</v>
      </c>
      <c r="G11" s="13"/>
      <c r="H11" s="13"/>
      <c r="I11" s="13"/>
      <c r="J11" s="13"/>
      <c r="K11" s="13"/>
      <c r="L11" s="13"/>
      <c r="M11" s="13"/>
      <c r="N11" s="13"/>
      <c r="O11" s="13"/>
    </row>
    <row r="12" spans="1:15" x14ac:dyDescent="0.35">
      <c r="A12" s="11" t="s">
        <v>395</v>
      </c>
      <c r="B12" s="13">
        <v>121200</v>
      </c>
      <c r="C12" s="13">
        <v>141300</v>
      </c>
      <c r="D12" s="13">
        <v>131800</v>
      </c>
      <c r="E12" s="13" t="s">
        <v>396</v>
      </c>
      <c r="F12" s="13" t="s">
        <v>502</v>
      </c>
      <c r="G12" s="13"/>
      <c r="H12" s="13"/>
      <c r="I12" s="13"/>
      <c r="J12" s="13"/>
      <c r="K12" s="13"/>
      <c r="L12" s="13"/>
      <c r="M12" s="13"/>
      <c r="N12" s="13"/>
      <c r="O12" s="13"/>
    </row>
    <row r="13" spans="1:15" ht="30" customHeight="1" x14ac:dyDescent="0.4">
      <c r="A13" s="5" t="s">
        <v>73</v>
      </c>
      <c r="B13" s="13"/>
      <c r="C13" s="13"/>
      <c r="D13" s="13"/>
      <c r="E13" s="13"/>
      <c r="F13" s="13"/>
      <c r="G13" s="13"/>
      <c r="H13" s="13"/>
      <c r="I13" s="13"/>
      <c r="J13" s="13"/>
      <c r="K13" s="13"/>
      <c r="L13" s="13"/>
      <c r="M13" s="13"/>
      <c r="N13" s="13"/>
      <c r="O13" s="13"/>
    </row>
    <row r="14" spans="1:15" x14ac:dyDescent="0.35">
      <c r="A14" s="11" t="s">
        <v>386</v>
      </c>
      <c r="B14" s="13" t="s">
        <v>391</v>
      </c>
      <c r="C14" s="13" t="s">
        <v>392</v>
      </c>
      <c r="D14" s="13" t="s">
        <v>393</v>
      </c>
      <c r="E14" s="13" t="s">
        <v>381</v>
      </c>
      <c r="F14" s="13" t="s">
        <v>394</v>
      </c>
      <c r="G14" s="13"/>
      <c r="H14" s="13"/>
      <c r="I14" s="13"/>
      <c r="J14" s="13"/>
      <c r="K14" s="13"/>
      <c r="L14" s="13"/>
      <c r="M14" s="13"/>
      <c r="N14" s="13"/>
      <c r="O14" s="13"/>
    </row>
    <row r="15" spans="1:15" x14ac:dyDescent="0.35">
      <c r="A15" s="8" t="s">
        <v>501</v>
      </c>
      <c r="B15" s="12">
        <v>52</v>
      </c>
      <c r="C15" s="12">
        <v>52</v>
      </c>
      <c r="D15" s="12">
        <v>53</v>
      </c>
      <c r="E15" s="12" t="s">
        <v>381</v>
      </c>
      <c r="F15" s="12" t="s">
        <v>502</v>
      </c>
      <c r="G15" s="12"/>
      <c r="H15" s="12"/>
      <c r="I15" s="12"/>
      <c r="J15" s="12"/>
      <c r="K15" s="12"/>
      <c r="L15" s="12"/>
      <c r="M15" s="12"/>
      <c r="N15" s="12"/>
      <c r="O15" s="12"/>
    </row>
    <row r="16" spans="1:15" x14ac:dyDescent="0.35">
      <c r="A16" s="11" t="s">
        <v>503</v>
      </c>
      <c r="B16" s="13">
        <v>48</v>
      </c>
      <c r="C16" s="13">
        <v>42</v>
      </c>
      <c r="D16" s="13">
        <v>47</v>
      </c>
      <c r="E16" s="13" t="s">
        <v>381</v>
      </c>
      <c r="F16" s="13" t="s">
        <v>502</v>
      </c>
      <c r="G16" s="13"/>
      <c r="H16" s="13"/>
      <c r="I16" s="13"/>
      <c r="J16" s="13"/>
      <c r="K16" s="13"/>
      <c r="L16" s="13"/>
      <c r="M16" s="13"/>
      <c r="N16" s="13"/>
      <c r="O16" s="13"/>
    </row>
    <row r="17" spans="1:15" x14ac:dyDescent="0.35">
      <c r="A17" s="11" t="s">
        <v>395</v>
      </c>
      <c r="B17" s="13">
        <v>52</v>
      </c>
      <c r="C17" s="13">
        <v>52</v>
      </c>
      <c r="D17" s="13">
        <v>53</v>
      </c>
      <c r="E17" s="13" t="s">
        <v>381</v>
      </c>
      <c r="F17" s="13" t="s">
        <v>502</v>
      </c>
      <c r="G17" s="13"/>
      <c r="H17" s="13"/>
      <c r="I17" s="13"/>
      <c r="J17" s="13"/>
      <c r="K17" s="13"/>
      <c r="L17" s="13"/>
      <c r="M17" s="13"/>
      <c r="N17" s="13"/>
      <c r="O17" s="13"/>
    </row>
    <row r="18" spans="1:15" ht="30" customHeight="1" x14ac:dyDescent="0.4">
      <c r="A18" s="5" t="s">
        <v>74</v>
      </c>
      <c r="B18" s="13"/>
      <c r="C18" s="13"/>
      <c r="D18" s="13"/>
      <c r="E18" s="13"/>
      <c r="F18" s="13"/>
      <c r="G18" s="13"/>
      <c r="H18" s="13"/>
      <c r="I18" s="13"/>
      <c r="J18" s="13"/>
      <c r="K18" s="13"/>
      <c r="L18" s="13"/>
      <c r="M18" s="13"/>
      <c r="N18" s="13"/>
      <c r="O18" s="13"/>
    </row>
    <row r="19" spans="1:15" x14ac:dyDescent="0.35">
      <c r="A19" s="11" t="s">
        <v>386</v>
      </c>
      <c r="B19" s="13" t="s">
        <v>391</v>
      </c>
      <c r="C19" s="13" t="s">
        <v>392</v>
      </c>
      <c r="D19" s="13" t="s">
        <v>393</v>
      </c>
      <c r="E19" s="13" t="s">
        <v>381</v>
      </c>
      <c r="F19" s="13" t="s">
        <v>394</v>
      </c>
      <c r="G19" s="13"/>
      <c r="H19" s="13"/>
      <c r="I19" s="13"/>
      <c r="J19" s="13"/>
      <c r="K19" s="13"/>
      <c r="L19" s="13"/>
      <c r="M19" s="13"/>
      <c r="N19" s="13"/>
      <c r="O19" s="13"/>
    </row>
    <row r="20" spans="1:15" x14ac:dyDescent="0.35">
      <c r="A20" s="8" t="s">
        <v>501</v>
      </c>
      <c r="B20" s="12">
        <v>2487</v>
      </c>
      <c r="C20" s="12">
        <v>2283</v>
      </c>
      <c r="D20" s="12">
        <v>2082</v>
      </c>
      <c r="E20" s="12" t="s">
        <v>381</v>
      </c>
      <c r="F20" s="12" t="s">
        <v>502</v>
      </c>
      <c r="G20" s="12"/>
      <c r="H20" s="12"/>
      <c r="I20" s="12"/>
      <c r="J20" s="12"/>
      <c r="K20" s="12"/>
      <c r="L20" s="12"/>
      <c r="M20" s="12"/>
      <c r="N20" s="12"/>
      <c r="O20" s="12"/>
    </row>
    <row r="21" spans="1:15" x14ac:dyDescent="0.35">
      <c r="A21" s="11" t="s">
        <v>503</v>
      </c>
      <c r="B21" s="13">
        <v>35</v>
      </c>
      <c r="C21" s="13">
        <v>31</v>
      </c>
      <c r="D21" s="13">
        <v>42</v>
      </c>
      <c r="E21" s="13" t="s">
        <v>381</v>
      </c>
      <c r="F21" s="13" t="s">
        <v>502</v>
      </c>
      <c r="G21" s="13"/>
      <c r="H21" s="13"/>
      <c r="I21" s="13"/>
      <c r="J21" s="13"/>
      <c r="K21" s="13"/>
      <c r="L21" s="13"/>
      <c r="M21" s="13"/>
      <c r="N21" s="13"/>
      <c r="O21" s="13"/>
    </row>
    <row r="22" spans="1:15" x14ac:dyDescent="0.35">
      <c r="A22" s="11" t="s">
        <v>395</v>
      </c>
      <c r="B22" s="13">
        <v>2522</v>
      </c>
      <c r="C22" s="13">
        <v>2314</v>
      </c>
      <c r="D22" s="13">
        <v>2124</v>
      </c>
      <c r="E22" s="13" t="s">
        <v>381</v>
      </c>
      <c r="F22" s="13" t="s">
        <v>502</v>
      </c>
      <c r="G22" s="13"/>
      <c r="H22" s="13"/>
      <c r="I22" s="13"/>
      <c r="J22" s="13"/>
      <c r="K22" s="13"/>
      <c r="L22" s="13"/>
      <c r="M22" s="13"/>
      <c r="N22" s="13"/>
      <c r="O22" s="13"/>
    </row>
    <row r="23" spans="1:15" x14ac:dyDescent="0.35">
      <c r="A23" s="11"/>
      <c r="B23" s="13"/>
      <c r="C23" s="13"/>
      <c r="D23" s="13"/>
      <c r="E23" s="13"/>
      <c r="F23" s="13"/>
      <c r="G23" s="13"/>
      <c r="H23" s="13"/>
      <c r="I23" s="13"/>
      <c r="J23" s="13"/>
      <c r="K23" s="13"/>
      <c r="L23" s="13"/>
      <c r="M23" s="13"/>
      <c r="N23" s="13"/>
      <c r="O23" s="13"/>
    </row>
    <row r="24" spans="1:15" x14ac:dyDescent="0.35">
      <c r="A24" s="11"/>
      <c r="B24" s="13"/>
      <c r="C24" s="13"/>
      <c r="D24" s="13"/>
      <c r="E24" s="13"/>
      <c r="F24" s="13"/>
      <c r="G24" s="13"/>
      <c r="H24" s="13"/>
      <c r="I24" s="13"/>
      <c r="J24" s="13"/>
      <c r="K24" s="13"/>
      <c r="L24" s="13"/>
      <c r="M24" s="13"/>
      <c r="N24" s="13"/>
      <c r="O24" s="13"/>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80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ht="29" x14ac:dyDescent="0.35">
      <c r="A4" s="8" t="s">
        <v>504</v>
      </c>
      <c r="B4" s="9"/>
      <c r="C4" s="9"/>
      <c r="D4" s="9"/>
      <c r="E4" s="9"/>
      <c r="F4" s="9"/>
      <c r="G4" s="9"/>
      <c r="H4" s="9"/>
      <c r="I4" s="9"/>
      <c r="J4" s="9"/>
      <c r="K4" s="9"/>
      <c r="L4" s="9"/>
      <c r="M4" s="9"/>
      <c r="N4" s="9"/>
      <c r="O4" s="9"/>
    </row>
    <row r="5" spans="1:15" x14ac:dyDescent="0.35">
      <c r="A5" s="8" t="s">
        <v>479</v>
      </c>
      <c r="B5" s="9"/>
      <c r="C5" s="9"/>
      <c r="D5" s="9"/>
      <c r="E5" s="9"/>
      <c r="F5" s="9"/>
      <c r="G5" s="9"/>
      <c r="H5" s="9"/>
      <c r="I5" s="9"/>
      <c r="J5" s="9"/>
      <c r="K5" s="9"/>
      <c r="L5" s="9"/>
      <c r="M5" s="9"/>
      <c r="N5" s="9"/>
      <c r="O5" s="9"/>
    </row>
    <row r="6" spans="1:15" x14ac:dyDescent="0.35">
      <c r="A6" s="10" t="s">
        <v>0</v>
      </c>
      <c r="B6" s="9"/>
      <c r="C6" s="9"/>
      <c r="D6" s="9"/>
      <c r="E6" s="9"/>
      <c r="F6" s="9"/>
      <c r="G6" s="9"/>
      <c r="H6" s="9"/>
      <c r="I6" s="9"/>
      <c r="J6" s="9"/>
      <c r="K6" s="9"/>
      <c r="L6" s="9"/>
      <c r="M6" s="9"/>
      <c r="N6" s="9"/>
      <c r="O6" s="9"/>
    </row>
    <row r="7" spans="1:15" ht="30" customHeight="1" x14ac:dyDescent="0.4">
      <c r="A7" s="5" t="s">
        <v>79</v>
      </c>
      <c r="B7" s="9"/>
      <c r="C7" s="9"/>
      <c r="D7" s="9"/>
      <c r="E7" s="9"/>
      <c r="F7" s="9"/>
      <c r="G7" s="9"/>
      <c r="H7" s="9"/>
      <c r="I7" s="9"/>
      <c r="J7" s="9"/>
      <c r="K7" s="9"/>
      <c r="L7" s="9"/>
      <c r="M7" s="9"/>
      <c r="N7" s="9"/>
      <c r="O7" s="9"/>
    </row>
    <row r="8" spans="1:15" x14ac:dyDescent="0.35">
      <c r="A8" s="11" t="s">
        <v>386</v>
      </c>
      <c r="B8" s="9" t="s">
        <v>389</v>
      </c>
      <c r="C8" s="9" t="s">
        <v>390</v>
      </c>
      <c r="D8" s="9" t="s">
        <v>391</v>
      </c>
      <c r="E8" s="9" t="s">
        <v>392</v>
      </c>
      <c r="F8" s="9" t="s">
        <v>393</v>
      </c>
      <c r="G8" s="9" t="s">
        <v>381</v>
      </c>
      <c r="H8" s="9" t="s">
        <v>394</v>
      </c>
      <c r="I8" s="9"/>
      <c r="J8" s="9"/>
      <c r="K8" s="9"/>
      <c r="L8" s="9"/>
      <c r="M8" s="9"/>
      <c r="N8" s="9"/>
      <c r="O8" s="9"/>
    </row>
    <row r="9" spans="1:15" x14ac:dyDescent="0.35">
      <c r="A9" s="8" t="s">
        <v>505</v>
      </c>
      <c r="B9" s="12">
        <v>111900</v>
      </c>
      <c r="C9" s="12">
        <v>126200</v>
      </c>
      <c r="D9" s="12">
        <v>132400</v>
      </c>
      <c r="E9" s="12">
        <v>165300</v>
      </c>
      <c r="F9" s="12">
        <v>161100</v>
      </c>
      <c r="G9" s="12" t="s">
        <v>396</v>
      </c>
      <c r="H9" s="12" t="s">
        <v>502</v>
      </c>
      <c r="I9" s="12"/>
      <c r="J9" s="12"/>
      <c r="K9" s="12"/>
      <c r="L9" s="12"/>
      <c r="M9" s="12"/>
      <c r="N9" s="12"/>
      <c r="O9" s="12"/>
    </row>
    <row r="10" spans="1:15" x14ac:dyDescent="0.35">
      <c r="A10" s="11" t="s">
        <v>506</v>
      </c>
      <c r="B10" s="13">
        <v>90100</v>
      </c>
      <c r="C10" s="13">
        <v>66400</v>
      </c>
      <c r="D10" s="13">
        <v>111100</v>
      </c>
      <c r="E10" s="13">
        <v>93200</v>
      </c>
      <c r="F10" s="13">
        <v>62200</v>
      </c>
      <c r="G10" s="13" t="s">
        <v>396</v>
      </c>
      <c r="H10" s="13" t="s">
        <v>502</v>
      </c>
      <c r="I10" s="13"/>
      <c r="J10" s="13"/>
      <c r="K10" s="13"/>
      <c r="L10" s="13"/>
      <c r="M10" s="13"/>
      <c r="N10" s="13"/>
      <c r="O10" s="13"/>
    </row>
    <row r="11" spans="1:15" x14ac:dyDescent="0.35">
      <c r="A11" s="11" t="s">
        <v>507</v>
      </c>
      <c r="B11" s="13">
        <v>72100</v>
      </c>
      <c r="C11" s="13">
        <v>83900</v>
      </c>
      <c r="D11" s="13">
        <v>106900</v>
      </c>
      <c r="E11" s="13">
        <v>105400</v>
      </c>
      <c r="F11" s="13">
        <v>96200</v>
      </c>
      <c r="G11" s="13" t="s">
        <v>396</v>
      </c>
      <c r="H11" s="13" t="s">
        <v>502</v>
      </c>
      <c r="I11" s="13"/>
      <c r="J11" s="13"/>
      <c r="K11" s="13"/>
      <c r="L11" s="13"/>
      <c r="M11" s="13"/>
      <c r="N11" s="13"/>
      <c r="O11" s="13"/>
    </row>
    <row r="12" spans="1:15" x14ac:dyDescent="0.35">
      <c r="A12" s="11" t="s">
        <v>395</v>
      </c>
      <c r="B12" s="13">
        <v>97900</v>
      </c>
      <c r="C12" s="13">
        <v>111700</v>
      </c>
      <c r="D12" s="13">
        <v>121300</v>
      </c>
      <c r="E12" s="13">
        <v>138600</v>
      </c>
      <c r="F12" s="13">
        <v>130200</v>
      </c>
      <c r="G12" s="13" t="s">
        <v>396</v>
      </c>
      <c r="H12" s="13" t="s">
        <v>502</v>
      </c>
      <c r="I12" s="13"/>
      <c r="J12" s="13"/>
      <c r="K12" s="13"/>
      <c r="L12" s="13"/>
      <c r="M12" s="13"/>
      <c r="N12" s="13"/>
      <c r="O12" s="13"/>
    </row>
    <row r="13" spans="1:15" ht="30" customHeight="1" x14ac:dyDescent="0.4">
      <c r="A13" s="5" t="s">
        <v>77</v>
      </c>
      <c r="B13" s="13"/>
      <c r="C13" s="13"/>
      <c r="D13" s="13"/>
      <c r="E13" s="13"/>
      <c r="F13" s="13"/>
      <c r="G13" s="13"/>
      <c r="H13" s="13"/>
      <c r="I13" s="13"/>
      <c r="J13" s="13"/>
      <c r="K13" s="13"/>
      <c r="L13" s="13"/>
      <c r="M13" s="13"/>
      <c r="N13" s="13"/>
      <c r="O13" s="13"/>
    </row>
    <row r="14" spans="1:15" x14ac:dyDescent="0.35">
      <c r="A14" s="11" t="s">
        <v>386</v>
      </c>
      <c r="B14" s="13" t="s">
        <v>389</v>
      </c>
      <c r="C14" s="13" t="s">
        <v>390</v>
      </c>
      <c r="D14" s="13" t="s">
        <v>391</v>
      </c>
      <c r="E14" s="13" t="s">
        <v>392</v>
      </c>
      <c r="F14" s="13" t="s">
        <v>393</v>
      </c>
      <c r="G14" s="13" t="s">
        <v>381</v>
      </c>
      <c r="H14" s="13" t="s">
        <v>394</v>
      </c>
      <c r="I14" s="13"/>
      <c r="J14" s="13"/>
      <c r="K14" s="13"/>
      <c r="L14" s="13"/>
      <c r="M14" s="13"/>
      <c r="N14" s="13"/>
      <c r="O14" s="13"/>
    </row>
    <row r="15" spans="1:15" x14ac:dyDescent="0.35">
      <c r="A15" s="8" t="s">
        <v>505</v>
      </c>
      <c r="B15" s="12">
        <v>54</v>
      </c>
      <c r="C15" s="12">
        <v>57</v>
      </c>
      <c r="D15" s="12">
        <v>57</v>
      </c>
      <c r="E15" s="12">
        <v>59</v>
      </c>
      <c r="F15" s="12">
        <v>60</v>
      </c>
      <c r="G15" s="12" t="s">
        <v>381</v>
      </c>
      <c r="H15" s="12" t="s">
        <v>502</v>
      </c>
      <c r="I15" s="12"/>
      <c r="J15" s="12"/>
      <c r="K15" s="12"/>
      <c r="L15" s="12"/>
      <c r="M15" s="12"/>
      <c r="N15" s="12"/>
      <c r="O15" s="12"/>
    </row>
    <row r="16" spans="1:15" x14ac:dyDescent="0.35">
      <c r="A16" s="11" t="s">
        <v>506</v>
      </c>
      <c r="B16" s="13">
        <v>47</v>
      </c>
      <c r="C16" s="13">
        <v>52</v>
      </c>
      <c r="D16" s="13">
        <v>48</v>
      </c>
      <c r="E16" s="13">
        <v>49</v>
      </c>
      <c r="F16" s="13">
        <v>52</v>
      </c>
      <c r="G16" s="13" t="s">
        <v>381</v>
      </c>
      <c r="H16" s="13" t="s">
        <v>502</v>
      </c>
      <c r="I16" s="13"/>
      <c r="J16" s="13"/>
      <c r="K16" s="13"/>
      <c r="L16" s="13"/>
      <c r="M16" s="13"/>
      <c r="N16" s="13"/>
      <c r="O16" s="13"/>
    </row>
    <row r="17" spans="1:15" x14ac:dyDescent="0.35">
      <c r="A17" s="11" t="s">
        <v>507</v>
      </c>
      <c r="B17" s="13">
        <v>42</v>
      </c>
      <c r="C17" s="13">
        <v>46</v>
      </c>
      <c r="D17" s="13">
        <v>46</v>
      </c>
      <c r="E17" s="13">
        <v>46</v>
      </c>
      <c r="F17" s="13">
        <v>46</v>
      </c>
      <c r="G17" s="13" t="s">
        <v>381</v>
      </c>
      <c r="H17" s="13" t="s">
        <v>502</v>
      </c>
      <c r="I17" s="13"/>
      <c r="J17" s="13"/>
      <c r="K17" s="13"/>
      <c r="L17" s="13"/>
      <c r="M17" s="13"/>
      <c r="N17" s="13"/>
      <c r="O17" s="13"/>
    </row>
    <row r="18" spans="1:15" x14ac:dyDescent="0.35">
      <c r="A18" s="11" t="s">
        <v>395</v>
      </c>
      <c r="B18" s="13">
        <v>50</v>
      </c>
      <c r="C18" s="13">
        <v>52</v>
      </c>
      <c r="D18" s="13">
        <v>52</v>
      </c>
      <c r="E18" s="13">
        <v>52</v>
      </c>
      <c r="F18" s="13">
        <v>53</v>
      </c>
      <c r="G18" s="13" t="s">
        <v>381</v>
      </c>
      <c r="H18" s="13" t="s">
        <v>502</v>
      </c>
      <c r="I18" s="13"/>
      <c r="J18" s="13"/>
      <c r="K18" s="13"/>
      <c r="L18" s="13"/>
      <c r="M18" s="13"/>
      <c r="N18" s="13"/>
      <c r="O18" s="13"/>
    </row>
    <row r="19" spans="1:15" ht="30" customHeight="1" x14ac:dyDescent="0.4">
      <c r="A19" s="5" t="s">
        <v>78</v>
      </c>
      <c r="B19" s="13"/>
      <c r="C19" s="13"/>
      <c r="D19" s="13"/>
      <c r="E19" s="13"/>
      <c r="F19" s="13"/>
      <c r="G19" s="13"/>
      <c r="H19" s="13"/>
      <c r="I19" s="13"/>
      <c r="J19" s="13"/>
      <c r="K19" s="13"/>
      <c r="L19" s="13"/>
      <c r="M19" s="13"/>
      <c r="N19" s="13"/>
      <c r="O19" s="13"/>
    </row>
    <row r="20" spans="1:15" x14ac:dyDescent="0.35">
      <c r="A20" s="11" t="s">
        <v>386</v>
      </c>
      <c r="B20" s="13" t="s">
        <v>389</v>
      </c>
      <c r="C20" s="13" t="s">
        <v>390</v>
      </c>
      <c r="D20" s="13" t="s">
        <v>391</v>
      </c>
      <c r="E20" s="13" t="s">
        <v>392</v>
      </c>
      <c r="F20" s="13" t="s">
        <v>393</v>
      </c>
      <c r="G20" s="13" t="s">
        <v>381</v>
      </c>
      <c r="H20" s="13" t="s">
        <v>394</v>
      </c>
      <c r="I20" s="13"/>
      <c r="J20" s="13"/>
      <c r="K20" s="13"/>
      <c r="L20" s="13"/>
      <c r="M20" s="13"/>
      <c r="N20" s="13"/>
      <c r="O20" s="13"/>
    </row>
    <row r="21" spans="1:15" x14ac:dyDescent="0.35">
      <c r="A21" s="8" t="s">
        <v>505</v>
      </c>
      <c r="B21" s="12">
        <v>1731</v>
      </c>
      <c r="C21" s="12">
        <v>1820</v>
      </c>
      <c r="D21" s="12">
        <v>1599</v>
      </c>
      <c r="E21" s="12">
        <v>1316</v>
      </c>
      <c r="F21" s="12">
        <v>1192</v>
      </c>
      <c r="G21" s="12" t="s">
        <v>381</v>
      </c>
      <c r="H21" s="12" t="s">
        <v>502</v>
      </c>
      <c r="I21" s="12"/>
      <c r="J21" s="12"/>
      <c r="K21" s="12"/>
      <c r="L21" s="12"/>
      <c r="M21" s="12"/>
      <c r="N21" s="12"/>
      <c r="O21" s="12"/>
    </row>
    <row r="22" spans="1:15" x14ac:dyDescent="0.35">
      <c r="A22" s="11" t="s">
        <v>506</v>
      </c>
      <c r="B22" s="13">
        <v>36</v>
      </c>
      <c r="C22" s="13">
        <v>51</v>
      </c>
      <c r="D22" s="13">
        <v>70</v>
      </c>
      <c r="E22" s="13">
        <v>90</v>
      </c>
      <c r="F22" s="13">
        <v>78</v>
      </c>
      <c r="G22" s="13" t="s">
        <v>381</v>
      </c>
      <c r="H22" s="13" t="s">
        <v>502</v>
      </c>
      <c r="I22" s="13"/>
      <c r="J22" s="13"/>
      <c r="K22" s="13"/>
      <c r="L22" s="13"/>
      <c r="M22" s="13"/>
      <c r="N22" s="13"/>
      <c r="O22" s="13"/>
    </row>
    <row r="23" spans="1:15" x14ac:dyDescent="0.35">
      <c r="A23" s="11" t="s">
        <v>507</v>
      </c>
      <c r="B23" s="13">
        <v>978</v>
      </c>
      <c r="C23" s="13">
        <v>985</v>
      </c>
      <c r="D23" s="13">
        <v>910</v>
      </c>
      <c r="E23" s="13">
        <v>915</v>
      </c>
      <c r="F23" s="13">
        <v>872</v>
      </c>
      <c r="G23" s="13" t="s">
        <v>381</v>
      </c>
      <c r="H23" s="13" t="s">
        <v>502</v>
      </c>
      <c r="I23" s="13"/>
      <c r="J23" s="13"/>
      <c r="K23" s="13"/>
      <c r="L23" s="13"/>
      <c r="M23" s="13"/>
      <c r="N23" s="13"/>
      <c r="O23" s="13"/>
    </row>
    <row r="24" spans="1:15" x14ac:dyDescent="0.35">
      <c r="A24" s="11" t="s">
        <v>395</v>
      </c>
      <c r="B24" s="13">
        <v>2745</v>
      </c>
      <c r="C24" s="13">
        <v>2856</v>
      </c>
      <c r="D24" s="13">
        <v>2579</v>
      </c>
      <c r="E24" s="13">
        <v>2321</v>
      </c>
      <c r="F24" s="13">
        <v>2142</v>
      </c>
      <c r="G24" s="13" t="s">
        <v>381</v>
      </c>
      <c r="H24" s="13" t="s">
        <v>502</v>
      </c>
      <c r="I24" s="13"/>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84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ht="29" x14ac:dyDescent="0.35">
      <c r="A4" s="8" t="s">
        <v>508</v>
      </c>
      <c r="B4" s="9"/>
      <c r="C4" s="9"/>
      <c r="D4" s="9"/>
      <c r="E4" s="9"/>
      <c r="F4" s="9"/>
      <c r="G4" s="9"/>
      <c r="H4" s="9"/>
      <c r="I4" s="9"/>
      <c r="J4" s="9"/>
      <c r="K4" s="9"/>
      <c r="L4" s="9"/>
      <c r="M4" s="9"/>
      <c r="N4" s="9"/>
      <c r="O4" s="9"/>
    </row>
    <row r="5" spans="1:15" ht="29" x14ac:dyDescent="0.35">
      <c r="A5" s="8" t="s">
        <v>509</v>
      </c>
      <c r="B5" s="9"/>
      <c r="C5" s="9"/>
      <c r="D5" s="9"/>
      <c r="E5" s="9"/>
      <c r="F5" s="9"/>
      <c r="G5" s="9"/>
      <c r="H5" s="9"/>
      <c r="I5" s="9"/>
      <c r="J5" s="9"/>
      <c r="K5" s="9"/>
      <c r="L5" s="9"/>
      <c r="M5" s="9"/>
      <c r="N5" s="9"/>
      <c r="O5" s="9"/>
    </row>
    <row r="6" spans="1:15" x14ac:dyDescent="0.35">
      <c r="A6" s="8" t="s">
        <v>479</v>
      </c>
      <c r="B6" s="9"/>
      <c r="C6" s="9"/>
      <c r="D6" s="9"/>
      <c r="E6" s="9"/>
      <c r="F6" s="9"/>
      <c r="G6" s="9"/>
      <c r="H6" s="9"/>
      <c r="I6" s="9"/>
      <c r="J6" s="9"/>
      <c r="K6" s="9"/>
      <c r="L6" s="9"/>
      <c r="M6" s="9"/>
      <c r="N6" s="9"/>
      <c r="O6" s="9"/>
    </row>
    <row r="7" spans="1:15" x14ac:dyDescent="0.35">
      <c r="A7" s="10" t="s">
        <v>0</v>
      </c>
      <c r="B7" s="9"/>
      <c r="C7" s="9"/>
      <c r="D7" s="9"/>
      <c r="E7" s="9"/>
      <c r="F7" s="9"/>
      <c r="G7" s="9"/>
      <c r="H7" s="9"/>
      <c r="I7" s="9"/>
      <c r="J7" s="9"/>
      <c r="K7" s="9"/>
      <c r="L7" s="9"/>
      <c r="M7" s="9"/>
      <c r="N7" s="9"/>
      <c r="O7" s="9"/>
    </row>
    <row r="8" spans="1:15" ht="30" customHeight="1" x14ac:dyDescent="0.4">
      <c r="A8" s="5" t="s">
        <v>83</v>
      </c>
      <c r="B8" s="9"/>
      <c r="C8" s="9"/>
      <c r="D8" s="9"/>
      <c r="E8" s="9"/>
      <c r="F8" s="9"/>
      <c r="G8" s="9"/>
      <c r="H8" s="9"/>
      <c r="I8" s="9"/>
      <c r="J8" s="9"/>
      <c r="K8" s="9"/>
      <c r="L8" s="9"/>
      <c r="M8" s="9"/>
      <c r="N8" s="9"/>
      <c r="O8" s="9"/>
    </row>
    <row r="9" spans="1:15" x14ac:dyDescent="0.35">
      <c r="A9" s="11" t="s">
        <v>386</v>
      </c>
      <c r="B9" s="9" t="s">
        <v>389</v>
      </c>
      <c r="C9" s="9" t="s">
        <v>390</v>
      </c>
      <c r="D9" s="9" t="s">
        <v>391</v>
      </c>
      <c r="E9" s="9" t="s">
        <v>392</v>
      </c>
      <c r="F9" s="9" t="s">
        <v>393</v>
      </c>
      <c r="G9" s="9" t="s">
        <v>381</v>
      </c>
      <c r="H9" s="9" t="s">
        <v>394</v>
      </c>
      <c r="I9" s="9"/>
      <c r="J9" s="9"/>
      <c r="K9" s="9"/>
      <c r="L9" s="9"/>
      <c r="M9" s="9"/>
      <c r="N9" s="9"/>
      <c r="O9" s="9"/>
    </row>
    <row r="10" spans="1:15" x14ac:dyDescent="0.35">
      <c r="A10" s="8" t="s">
        <v>510</v>
      </c>
      <c r="B10" s="12">
        <v>103700</v>
      </c>
      <c r="C10" s="12">
        <v>118300</v>
      </c>
      <c r="D10" s="12">
        <v>132900</v>
      </c>
      <c r="E10" s="12">
        <v>147800</v>
      </c>
      <c r="F10" s="12">
        <v>138100</v>
      </c>
      <c r="G10" s="12" t="s">
        <v>396</v>
      </c>
      <c r="H10" s="12">
        <v>159900</v>
      </c>
      <c r="I10" s="12"/>
      <c r="J10" s="12"/>
      <c r="K10" s="12"/>
      <c r="L10" s="12"/>
      <c r="M10" s="12"/>
      <c r="N10" s="12"/>
      <c r="O10" s="12"/>
    </row>
    <row r="11" spans="1:15" x14ac:dyDescent="0.35">
      <c r="A11" s="11" t="s">
        <v>511</v>
      </c>
      <c r="B11" s="13">
        <v>17100</v>
      </c>
      <c r="C11" s="13">
        <v>28500</v>
      </c>
      <c r="D11" s="13">
        <v>25400</v>
      </c>
      <c r="E11" s="13">
        <v>38000</v>
      </c>
      <c r="F11" s="13">
        <v>59300</v>
      </c>
      <c r="G11" s="13" t="s">
        <v>396</v>
      </c>
      <c r="H11" s="13">
        <v>41600</v>
      </c>
      <c r="I11" s="13"/>
      <c r="J11" s="13"/>
      <c r="K11" s="13"/>
      <c r="L11" s="13"/>
      <c r="M11" s="13"/>
      <c r="N11" s="13"/>
      <c r="O11" s="13"/>
    </row>
    <row r="12" spans="1:15" x14ac:dyDescent="0.35">
      <c r="A12" s="11" t="s">
        <v>395</v>
      </c>
      <c r="B12" s="13">
        <v>97800</v>
      </c>
      <c r="C12" s="13">
        <v>111700</v>
      </c>
      <c r="D12" s="13">
        <v>121300</v>
      </c>
      <c r="E12" s="13">
        <v>138400</v>
      </c>
      <c r="F12" s="13">
        <v>130200</v>
      </c>
      <c r="G12" s="13" t="s">
        <v>396</v>
      </c>
      <c r="H12" s="13">
        <v>146000</v>
      </c>
      <c r="I12" s="13"/>
      <c r="J12" s="13"/>
      <c r="K12" s="13"/>
      <c r="L12" s="13"/>
      <c r="M12" s="13"/>
      <c r="N12" s="13"/>
      <c r="O12" s="13"/>
    </row>
    <row r="13" spans="1:15" ht="30" customHeight="1" x14ac:dyDescent="0.4">
      <c r="A13" s="5" t="s">
        <v>81</v>
      </c>
      <c r="B13" s="13"/>
      <c r="C13" s="13"/>
      <c r="D13" s="13"/>
      <c r="E13" s="13"/>
      <c r="F13" s="13"/>
      <c r="G13" s="13"/>
      <c r="H13" s="13"/>
      <c r="I13" s="13"/>
      <c r="J13" s="13"/>
      <c r="K13" s="13"/>
      <c r="L13" s="13"/>
      <c r="M13" s="13"/>
      <c r="N13" s="13"/>
      <c r="O13" s="13"/>
    </row>
    <row r="14" spans="1:15" x14ac:dyDescent="0.35">
      <c r="A14" s="11" t="s">
        <v>386</v>
      </c>
      <c r="B14" s="13" t="s">
        <v>389</v>
      </c>
      <c r="C14" s="13" t="s">
        <v>390</v>
      </c>
      <c r="D14" s="13" t="s">
        <v>391</v>
      </c>
      <c r="E14" s="13" t="s">
        <v>392</v>
      </c>
      <c r="F14" s="13" t="s">
        <v>393</v>
      </c>
      <c r="G14" s="13" t="s">
        <v>381</v>
      </c>
      <c r="H14" s="13" t="s">
        <v>394</v>
      </c>
      <c r="I14" s="13"/>
      <c r="J14" s="13"/>
      <c r="K14" s="13"/>
      <c r="L14" s="13"/>
      <c r="M14" s="13"/>
      <c r="N14" s="13"/>
      <c r="O14" s="13"/>
    </row>
    <row r="15" spans="1:15" x14ac:dyDescent="0.35">
      <c r="A15" s="8" t="s">
        <v>510</v>
      </c>
      <c r="B15" s="12">
        <v>51</v>
      </c>
      <c r="C15" s="12">
        <v>53</v>
      </c>
      <c r="D15" s="12">
        <v>54</v>
      </c>
      <c r="E15" s="12">
        <v>53</v>
      </c>
      <c r="F15" s="12">
        <v>54</v>
      </c>
      <c r="G15" s="12" t="s">
        <v>381</v>
      </c>
      <c r="H15" s="12">
        <v>55</v>
      </c>
      <c r="I15" s="12"/>
      <c r="J15" s="12"/>
      <c r="K15" s="12"/>
      <c r="L15" s="12"/>
      <c r="M15" s="12"/>
      <c r="N15" s="12"/>
      <c r="O15" s="12"/>
    </row>
    <row r="16" spans="1:15" x14ac:dyDescent="0.35">
      <c r="A16" s="11" t="s">
        <v>511</v>
      </c>
      <c r="B16" s="13">
        <v>33</v>
      </c>
      <c r="C16" s="13">
        <v>35</v>
      </c>
      <c r="D16" s="13">
        <v>35</v>
      </c>
      <c r="E16" s="13">
        <v>36</v>
      </c>
      <c r="F16" s="13">
        <v>39</v>
      </c>
      <c r="G16" s="13" t="s">
        <v>381</v>
      </c>
      <c r="H16" s="13">
        <v>38</v>
      </c>
      <c r="I16" s="13"/>
      <c r="J16" s="13"/>
      <c r="K16" s="13"/>
      <c r="L16" s="13"/>
      <c r="M16" s="13"/>
      <c r="N16" s="13"/>
      <c r="O16" s="13"/>
    </row>
    <row r="17" spans="1:15" x14ac:dyDescent="0.35">
      <c r="A17" s="11" t="s">
        <v>395</v>
      </c>
      <c r="B17" s="13">
        <v>50</v>
      </c>
      <c r="C17" s="13">
        <v>52</v>
      </c>
      <c r="D17" s="13">
        <v>52</v>
      </c>
      <c r="E17" s="13">
        <v>52</v>
      </c>
      <c r="F17" s="13">
        <v>53</v>
      </c>
      <c r="G17" s="13" t="s">
        <v>381</v>
      </c>
      <c r="H17" s="13">
        <v>53</v>
      </c>
      <c r="I17" s="13"/>
      <c r="J17" s="13"/>
      <c r="K17" s="13"/>
      <c r="L17" s="13"/>
      <c r="M17" s="13"/>
      <c r="N17" s="13"/>
      <c r="O17" s="13"/>
    </row>
    <row r="18" spans="1:15" ht="30" customHeight="1" x14ac:dyDescent="0.4">
      <c r="A18" s="5" t="s">
        <v>82</v>
      </c>
      <c r="B18" s="13"/>
      <c r="C18" s="13"/>
      <c r="D18" s="13"/>
      <c r="E18" s="13"/>
      <c r="F18" s="13"/>
      <c r="G18" s="13"/>
      <c r="H18" s="13"/>
      <c r="I18" s="13"/>
      <c r="J18" s="13"/>
      <c r="K18" s="13"/>
      <c r="L18" s="13"/>
      <c r="M18" s="13"/>
      <c r="N18" s="13"/>
      <c r="O18" s="13"/>
    </row>
    <row r="19" spans="1:15" x14ac:dyDescent="0.35">
      <c r="A19" s="11" t="s">
        <v>386</v>
      </c>
      <c r="B19" s="13" t="s">
        <v>389</v>
      </c>
      <c r="C19" s="13" t="s">
        <v>390</v>
      </c>
      <c r="D19" s="13" t="s">
        <v>391</v>
      </c>
      <c r="E19" s="13" t="s">
        <v>392</v>
      </c>
      <c r="F19" s="13" t="s">
        <v>393</v>
      </c>
      <c r="G19" s="13" t="s">
        <v>381</v>
      </c>
      <c r="H19" s="13" t="s">
        <v>394</v>
      </c>
      <c r="I19" s="13"/>
      <c r="J19" s="13"/>
      <c r="K19" s="13"/>
      <c r="L19" s="13"/>
      <c r="M19" s="13"/>
      <c r="N19" s="13"/>
      <c r="O19" s="13"/>
    </row>
    <row r="20" spans="1:15" x14ac:dyDescent="0.35">
      <c r="A20" s="8" t="s">
        <v>510</v>
      </c>
      <c r="B20" s="12">
        <v>2993</v>
      </c>
      <c r="C20" s="12">
        <v>2742</v>
      </c>
      <c r="D20" s="12">
        <v>2456</v>
      </c>
      <c r="E20" s="12">
        <v>2205</v>
      </c>
      <c r="F20" s="12">
        <v>2032</v>
      </c>
      <c r="G20" s="12" t="s">
        <v>381</v>
      </c>
      <c r="H20" s="12">
        <v>1543</v>
      </c>
      <c r="I20" s="12"/>
      <c r="J20" s="12"/>
      <c r="K20" s="12"/>
      <c r="L20" s="12"/>
      <c r="M20" s="12"/>
      <c r="N20" s="12"/>
      <c r="O20" s="12"/>
    </row>
    <row r="21" spans="1:15" x14ac:dyDescent="0.35">
      <c r="A21" s="11" t="s">
        <v>511</v>
      </c>
      <c r="B21" s="13">
        <v>145</v>
      </c>
      <c r="C21" s="13">
        <v>115</v>
      </c>
      <c r="D21" s="13">
        <v>123</v>
      </c>
      <c r="E21" s="13">
        <v>117</v>
      </c>
      <c r="F21" s="13">
        <v>110</v>
      </c>
      <c r="G21" s="13" t="s">
        <v>381</v>
      </c>
      <c r="H21" s="13">
        <v>109</v>
      </c>
      <c r="I21" s="13"/>
      <c r="J21" s="13"/>
      <c r="K21" s="13"/>
      <c r="L21" s="13"/>
      <c r="M21" s="13"/>
      <c r="N21" s="13"/>
      <c r="O21" s="13"/>
    </row>
    <row r="22" spans="1:15" x14ac:dyDescent="0.35">
      <c r="A22" s="11" t="s">
        <v>395</v>
      </c>
      <c r="B22" s="13">
        <v>3138</v>
      </c>
      <c r="C22" s="13">
        <v>2857</v>
      </c>
      <c r="D22" s="13">
        <v>2579</v>
      </c>
      <c r="E22" s="13">
        <v>2322</v>
      </c>
      <c r="F22" s="13">
        <v>2142</v>
      </c>
      <c r="G22" s="13" t="s">
        <v>381</v>
      </c>
      <c r="H22" s="13">
        <v>1652</v>
      </c>
      <c r="I22" s="13"/>
      <c r="J22" s="13"/>
      <c r="K22" s="13"/>
      <c r="L22" s="13"/>
      <c r="M22" s="13"/>
      <c r="N22" s="13"/>
      <c r="O22" s="13"/>
    </row>
    <row r="23" spans="1:15" x14ac:dyDescent="0.35">
      <c r="A23" s="11"/>
      <c r="B23" s="13"/>
      <c r="C23" s="13"/>
      <c r="D23" s="13"/>
      <c r="E23" s="13"/>
      <c r="F23" s="13"/>
      <c r="G23" s="13"/>
      <c r="H23" s="13"/>
      <c r="I23" s="13"/>
      <c r="J23" s="13"/>
      <c r="K23" s="13"/>
      <c r="L23" s="13"/>
      <c r="M23" s="13"/>
      <c r="N23" s="13"/>
      <c r="O23" s="13"/>
    </row>
    <row r="24" spans="1:15" x14ac:dyDescent="0.35">
      <c r="A24" s="11"/>
      <c r="B24" s="13"/>
      <c r="C24" s="13"/>
      <c r="D24" s="13"/>
      <c r="E24" s="13"/>
      <c r="F24" s="13"/>
      <c r="G24" s="13"/>
      <c r="H24" s="13"/>
      <c r="I24" s="13"/>
      <c r="J24" s="13"/>
      <c r="K24" s="13"/>
      <c r="L24" s="13"/>
      <c r="M24" s="13"/>
      <c r="N24" s="13"/>
      <c r="O24" s="13"/>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88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479</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87</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381</v>
      </c>
      <c r="H7" s="9" t="s">
        <v>394</v>
      </c>
      <c r="I7" s="9"/>
      <c r="J7" s="9"/>
      <c r="K7" s="9"/>
      <c r="L7" s="9"/>
      <c r="M7" s="9"/>
      <c r="N7" s="9"/>
      <c r="O7" s="9"/>
    </row>
    <row r="8" spans="1:15" x14ac:dyDescent="0.35">
      <c r="A8" s="8" t="s">
        <v>395</v>
      </c>
      <c r="B8" s="12">
        <v>85000</v>
      </c>
      <c r="C8" s="12">
        <v>96900</v>
      </c>
      <c r="D8" s="12">
        <v>107600</v>
      </c>
      <c r="E8" s="12">
        <v>110900</v>
      </c>
      <c r="F8" s="12">
        <v>104900</v>
      </c>
      <c r="G8" s="12" t="s">
        <v>396</v>
      </c>
      <c r="H8" s="12" t="s">
        <v>502</v>
      </c>
      <c r="I8" s="12"/>
      <c r="J8" s="12"/>
      <c r="K8" s="12"/>
      <c r="L8" s="12"/>
      <c r="M8" s="12"/>
      <c r="N8" s="12"/>
      <c r="O8" s="12"/>
    </row>
    <row r="9" spans="1:15" x14ac:dyDescent="0.35">
      <c r="A9" s="11" t="s">
        <v>512</v>
      </c>
      <c r="B9" s="13">
        <v>75300</v>
      </c>
      <c r="C9" s="13">
        <v>74200</v>
      </c>
      <c r="D9" s="13">
        <v>78300</v>
      </c>
      <c r="E9" s="13">
        <v>102100</v>
      </c>
      <c r="F9" s="13">
        <v>74500</v>
      </c>
      <c r="G9" s="13" t="s">
        <v>396</v>
      </c>
      <c r="H9" s="13" t="s">
        <v>502</v>
      </c>
      <c r="I9" s="13"/>
      <c r="J9" s="13"/>
      <c r="K9" s="13"/>
      <c r="L9" s="13"/>
      <c r="M9" s="13"/>
      <c r="N9" s="13"/>
      <c r="O9" s="13"/>
    </row>
    <row r="10" spans="1:15" x14ac:dyDescent="0.35">
      <c r="A10" s="11" t="s">
        <v>513</v>
      </c>
      <c r="B10" s="13">
        <v>86700</v>
      </c>
      <c r="C10" s="13">
        <v>103500</v>
      </c>
      <c r="D10" s="13">
        <v>117700</v>
      </c>
      <c r="E10" s="13">
        <v>113300</v>
      </c>
      <c r="F10" s="13">
        <v>114200</v>
      </c>
      <c r="G10" s="13" t="s">
        <v>396</v>
      </c>
      <c r="H10" s="13" t="s">
        <v>502</v>
      </c>
      <c r="I10" s="13"/>
      <c r="J10" s="13"/>
      <c r="K10" s="13"/>
      <c r="L10" s="13"/>
      <c r="M10" s="13"/>
      <c r="N10" s="13"/>
      <c r="O10" s="13"/>
    </row>
    <row r="11" spans="1:15" ht="30" customHeight="1" x14ac:dyDescent="0.4">
      <c r="A11" s="5" t="s">
        <v>85</v>
      </c>
      <c r="B11" s="13"/>
      <c r="C11" s="13"/>
      <c r="D11" s="13"/>
      <c r="E11" s="13"/>
      <c r="F11" s="13"/>
      <c r="G11" s="13"/>
      <c r="H11" s="13"/>
      <c r="I11" s="13"/>
      <c r="J11" s="13"/>
      <c r="K11" s="13"/>
      <c r="L11" s="13"/>
      <c r="M11" s="13"/>
      <c r="N11" s="13"/>
      <c r="O11" s="13"/>
    </row>
    <row r="12" spans="1:15" x14ac:dyDescent="0.35">
      <c r="A12" s="11" t="s">
        <v>386</v>
      </c>
      <c r="B12" s="13" t="s">
        <v>389</v>
      </c>
      <c r="C12" s="13" t="s">
        <v>390</v>
      </c>
      <c r="D12" s="13" t="s">
        <v>391</v>
      </c>
      <c r="E12" s="13" t="s">
        <v>392</v>
      </c>
      <c r="F12" s="13" t="s">
        <v>393</v>
      </c>
      <c r="G12" s="13" t="s">
        <v>381</v>
      </c>
      <c r="H12" s="13" t="s">
        <v>394</v>
      </c>
      <c r="I12" s="13"/>
      <c r="J12" s="13"/>
      <c r="K12" s="13"/>
      <c r="L12" s="13"/>
      <c r="M12" s="13"/>
      <c r="N12" s="13"/>
      <c r="O12" s="13"/>
    </row>
    <row r="13" spans="1:15" x14ac:dyDescent="0.35">
      <c r="A13" s="8" t="s">
        <v>395</v>
      </c>
      <c r="B13" s="12">
        <v>47</v>
      </c>
      <c r="C13" s="12">
        <v>50</v>
      </c>
      <c r="D13" s="12">
        <v>50</v>
      </c>
      <c r="E13" s="12">
        <v>49</v>
      </c>
      <c r="F13" s="12">
        <v>50</v>
      </c>
      <c r="G13" s="12" t="s">
        <v>381</v>
      </c>
      <c r="H13" s="12" t="s">
        <v>502</v>
      </c>
      <c r="I13" s="12"/>
      <c r="J13" s="12"/>
      <c r="K13" s="12"/>
      <c r="L13" s="12"/>
      <c r="M13" s="12"/>
      <c r="N13" s="12"/>
      <c r="O13" s="12"/>
    </row>
    <row r="14" spans="1:15" x14ac:dyDescent="0.35">
      <c r="A14" s="11" t="s">
        <v>512</v>
      </c>
      <c r="B14" s="13">
        <v>61</v>
      </c>
      <c r="C14" s="13">
        <v>63</v>
      </c>
      <c r="D14" s="13">
        <v>63</v>
      </c>
      <c r="E14" s="13">
        <v>61</v>
      </c>
      <c r="F14" s="13">
        <v>61</v>
      </c>
      <c r="G14" s="13" t="s">
        <v>381</v>
      </c>
      <c r="H14" s="13" t="s">
        <v>502</v>
      </c>
      <c r="I14" s="13"/>
      <c r="J14" s="13"/>
      <c r="K14" s="13"/>
      <c r="L14" s="13"/>
      <c r="M14" s="13"/>
      <c r="N14" s="13"/>
      <c r="O14" s="13"/>
    </row>
    <row r="15" spans="1:15" x14ac:dyDescent="0.35">
      <c r="A15" s="11" t="s">
        <v>513</v>
      </c>
      <c r="B15" s="13">
        <v>44</v>
      </c>
      <c r="C15" s="13">
        <v>47</v>
      </c>
      <c r="D15" s="13">
        <v>47</v>
      </c>
      <c r="E15" s="13">
        <v>46</v>
      </c>
      <c r="F15" s="13">
        <v>46</v>
      </c>
      <c r="G15" s="13" t="s">
        <v>381</v>
      </c>
      <c r="H15" s="13" t="s">
        <v>502</v>
      </c>
      <c r="I15" s="13"/>
      <c r="J15" s="13"/>
      <c r="K15" s="13"/>
      <c r="L15" s="13"/>
      <c r="M15" s="13"/>
      <c r="N15" s="13"/>
      <c r="O15" s="13"/>
    </row>
    <row r="16" spans="1:15" ht="30" customHeight="1" x14ac:dyDescent="0.4">
      <c r="A16" s="5" t="s">
        <v>86</v>
      </c>
      <c r="B16" s="13"/>
      <c r="C16" s="13"/>
      <c r="D16" s="13"/>
      <c r="E16" s="13"/>
      <c r="F16" s="13"/>
      <c r="G16" s="13"/>
      <c r="H16" s="13"/>
      <c r="I16" s="13"/>
      <c r="J16" s="13"/>
      <c r="K16" s="13"/>
      <c r="L16" s="13"/>
      <c r="M16" s="13"/>
      <c r="N16" s="13"/>
      <c r="O16" s="13"/>
    </row>
    <row r="17" spans="1:15" x14ac:dyDescent="0.35">
      <c r="A17" s="11" t="s">
        <v>386</v>
      </c>
      <c r="B17" s="13" t="s">
        <v>389</v>
      </c>
      <c r="C17" s="13" t="s">
        <v>390</v>
      </c>
      <c r="D17" s="13" t="s">
        <v>391</v>
      </c>
      <c r="E17" s="13" t="s">
        <v>392</v>
      </c>
      <c r="F17" s="13" t="s">
        <v>393</v>
      </c>
      <c r="G17" s="13" t="s">
        <v>381</v>
      </c>
      <c r="H17" s="13" t="s">
        <v>394</v>
      </c>
      <c r="I17" s="13"/>
      <c r="J17" s="13"/>
      <c r="K17" s="13"/>
      <c r="L17" s="13"/>
      <c r="M17" s="13"/>
      <c r="N17" s="13"/>
      <c r="O17" s="13"/>
    </row>
    <row r="18" spans="1:15" x14ac:dyDescent="0.35">
      <c r="A18" s="8" t="s">
        <v>395</v>
      </c>
      <c r="B18" s="12">
        <v>3708</v>
      </c>
      <c r="C18" s="12">
        <v>3347</v>
      </c>
      <c r="D18" s="12">
        <v>3015</v>
      </c>
      <c r="E18" s="12">
        <v>2877</v>
      </c>
      <c r="F18" s="12">
        <v>2659</v>
      </c>
      <c r="G18" s="12" t="s">
        <v>381</v>
      </c>
      <c r="H18" s="12" t="s">
        <v>502</v>
      </c>
      <c r="I18" s="12"/>
      <c r="J18" s="12"/>
      <c r="K18" s="12"/>
      <c r="L18" s="12"/>
      <c r="M18" s="12"/>
      <c r="N18" s="12"/>
      <c r="O18" s="12"/>
    </row>
    <row r="19" spans="1:15" x14ac:dyDescent="0.35">
      <c r="A19" s="11" t="s">
        <v>512</v>
      </c>
      <c r="B19" s="13">
        <v>721</v>
      </c>
      <c r="C19" s="13">
        <v>707</v>
      </c>
      <c r="D19" s="13">
        <v>633</v>
      </c>
      <c r="E19" s="13">
        <v>650</v>
      </c>
      <c r="F19" s="13">
        <v>605</v>
      </c>
      <c r="G19" s="13" t="s">
        <v>381</v>
      </c>
      <c r="H19" s="13" t="s">
        <v>502</v>
      </c>
      <c r="I19" s="13"/>
      <c r="J19" s="13"/>
      <c r="K19" s="13"/>
      <c r="L19" s="13"/>
      <c r="M19" s="13"/>
      <c r="N19" s="13"/>
      <c r="O19" s="13"/>
    </row>
    <row r="20" spans="1:15" x14ac:dyDescent="0.35">
      <c r="A20" s="11" t="s">
        <v>513</v>
      </c>
      <c r="B20" s="13">
        <v>2987</v>
      </c>
      <c r="C20" s="13">
        <v>2640</v>
      </c>
      <c r="D20" s="13">
        <v>2382</v>
      </c>
      <c r="E20" s="13">
        <v>2227</v>
      </c>
      <c r="F20" s="13">
        <v>2054</v>
      </c>
      <c r="G20" s="13" t="s">
        <v>381</v>
      </c>
      <c r="H20" s="13" t="s">
        <v>502</v>
      </c>
      <c r="I20" s="13"/>
      <c r="J20" s="13"/>
      <c r="K20" s="13"/>
      <c r="L20" s="13"/>
      <c r="M20" s="13"/>
      <c r="N20" s="13"/>
      <c r="O20" s="13"/>
    </row>
    <row r="21" spans="1:15" x14ac:dyDescent="0.35">
      <c r="A21" s="11"/>
      <c r="B21" s="13"/>
      <c r="C21" s="13"/>
      <c r="D21" s="13"/>
      <c r="E21" s="13"/>
      <c r="F21" s="13"/>
      <c r="G21" s="13"/>
      <c r="H21" s="13"/>
      <c r="I21" s="13"/>
      <c r="J21" s="13"/>
      <c r="K21" s="13"/>
      <c r="L21" s="13"/>
      <c r="M21" s="13"/>
      <c r="N21" s="13"/>
      <c r="O21" s="13"/>
    </row>
    <row r="22" spans="1:15" x14ac:dyDescent="0.35">
      <c r="A22" s="11"/>
      <c r="B22" s="13"/>
      <c r="C22" s="13"/>
      <c r="D22" s="13"/>
      <c r="E22" s="13"/>
      <c r="F22" s="13"/>
      <c r="G22" s="13"/>
      <c r="H22" s="13"/>
      <c r="I22" s="13"/>
      <c r="J22" s="13"/>
      <c r="K22" s="13"/>
      <c r="L22" s="13"/>
      <c r="M22" s="13"/>
      <c r="N22" s="13"/>
      <c r="O22" s="13"/>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92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479</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91</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381</v>
      </c>
      <c r="H7" s="9" t="s">
        <v>394</v>
      </c>
      <c r="I7" s="9"/>
      <c r="J7" s="9"/>
      <c r="K7" s="9"/>
      <c r="L7" s="9"/>
      <c r="M7" s="9"/>
      <c r="N7" s="9"/>
      <c r="O7" s="9"/>
    </row>
    <row r="8" spans="1:15" x14ac:dyDescent="0.35">
      <c r="A8" s="8" t="s">
        <v>514</v>
      </c>
      <c r="B8" s="12">
        <v>88700</v>
      </c>
      <c r="C8" s="12">
        <v>109200</v>
      </c>
      <c r="D8" s="12">
        <v>119700</v>
      </c>
      <c r="E8" s="12">
        <v>121100</v>
      </c>
      <c r="F8" s="12">
        <v>101400</v>
      </c>
      <c r="G8" s="12" t="s">
        <v>396</v>
      </c>
      <c r="H8" s="12">
        <v>146000</v>
      </c>
      <c r="I8" s="12"/>
      <c r="J8" s="12"/>
      <c r="K8" s="12"/>
      <c r="L8" s="12"/>
      <c r="M8" s="12"/>
      <c r="N8" s="12"/>
      <c r="O8" s="12"/>
    </row>
    <row r="9" spans="1:15" x14ac:dyDescent="0.35">
      <c r="A9" s="11" t="s">
        <v>515</v>
      </c>
      <c r="B9" s="13">
        <v>83500</v>
      </c>
      <c r="C9" s="13">
        <v>87000</v>
      </c>
      <c r="D9" s="13">
        <v>97100</v>
      </c>
      <c r="E9" s="13">
        <v>105900</v>
      </c>
      <c r="F9" s="13">
        <v>105900</v>
      </c>
      <c r="G9" s="13" t="s">
        <v>396</v>
      </c>
      <c r="H9" s="13">
        <v>92500</v>
      </c>
      <c r="I9" s="13"/>
      <c r="J9" s="13"/>
      <c r="K9" s="13"/>
      <c r="L9" s="13"/>
      <c r="M9" s="13"/>
      <c r="N9" s="13"/>
      <c r="O9" s="13"/>
    </row>
    <row r="10" spans="1:15" x14ac:dyDescent="0.35">
      <c r="A10" s="11" t="s">
        <v>395</v>
      </c>
      <c r="B10" s="13">
        <v>85000</v>
      </c>
      <c r="C10" s="13">
        <v>96900</v>
      </c>
      <c r="D10" s="13">
        <v>107600</v>
      </c>
      <c r="E10" s="13">
        <v>110900</v>
      </c>
      <c r="F10" s="13">
        <v>104900</v>
      </c>
      <c r="G10" s="13" t="s">
        <v>396</v>
      </c>
      <c r="H10" s="13">
        <v>115000</v>
      </c>
      <c r="I10" s="13"/>
      <c r="J10" s="13"/>
      <c r="K10" s="13"/>
      <c r="L10" s="13"/>
      <c r="M10" s="13"/>
      <c r="N10" s="13"/>
      <c r="O10" s="13"/>
    </row>
    <row r="11" spans="1:15" ht="30" customHeight="1" x14ac:dyDescent="0.4">
      <c r="A11" s="5" t="s">
        <v>89</v>
      </c>
      <c r="B11" s="13"/>
      <c r="C11" s="13"/>
      <c r="D11" s="13"/>
      <c r="E11" s="13"/>
      <c r="F11" s="13"/>
      <c r="G11" s="13"/>
      <c r="H11" s="13"/>
      <c r="I11" s="13"/>
      <c r="J11" s="13"/>
      <c r="K11" s="13"/>
      <c r="L11" s="13"/>
      <c r="M11" s="13"/>
      <c r="N11" s="13"/>
      <c r="O11" s="13"/>
    </row>
    <row r="12" spans="1:15" x14ac:dyDescent="0.35">
      <c r="A12" s="11" t="s">
        <v>386</v>
      </c>
      <c r="B12" s="13" t="s">
        <v>389</v>
      </c>
      <c r="C12" s="13" t="s">
        <v>390</v>
      </c>
      <c r="D12" s="13" t="s">
        <v>391</v>
      </c>
      <c r="E12" s="13" t="s">
        <v>392</v>
      </c>
      <c r="F12" s="13" t="s">
        <v>393</v>
      </c>
      <c r="G12" s="13" t="s">
        <v>381</v>
      </c>
      <c r="H12" s="13" t="s">
        <v>394</v>
      </c>
      <c r="I12" s="13"/>
      <c r="J12" s="13"/>
      <c r="K12" s="13"/>
      <c r="L12" s="13"/>
      <c r="M12" s="13"/>
      <c r="N12" s="13"/>
      <c r="O12" s="13"/>
    </row>
    <row r="13" spans="1:15" x14ac:dyDescent="0.35">
      <c r="A13" s="8" t="s">
        <v>514</v>
      </c>
      <c r="B13" s="12">
        <v>46</v>
      </c>
      <c r="C13" s="12">
        <v>49</v>
      </c>
      <c r="D13" s="12">
        <v>49</v>
      </c>
      <c r="E13" s="12">
        <v>47</v>
      </c>
      <c r="F13" s="12">
        <v>49</v>
      </c>
      <c r="G13" s="12" t="s">
        <v>381</v>
      </c>
      <c r="H13" s="12">
        <v>49</v>
      </c>
      <c r="I13" s="12"/>
      <c r="J13" s="12"/>
      <c r="K13" s="12"/>
      <c r="L13" s="12"/>
      <c r="M13" s="12"/>
      <c r="N13" s="12"/>
      <c r="O13" s="12"/>
    </row>
    <row r="14" spans="1:15" x14ac:dyDescent="0.35">
      <c r="A14" s="11" t="s">
        <v>515</v>
      </c>
      <c r="B14" s="13">
        <v>49</v>
      </c>
      <c r="C14" s="13">
        <v>50</v>
      </c>
      <c r="D14" s="13">
        <v>51</v>
      </c>
      <c r="E14" s="13">
        <v>50</v>
      </c>
      <c r="F14" s="13">
        <v>51</v>
      </c>
      <c r="G14" s="13" t="s">
        <v>381</v>
      </c>
      <c r="H14" s="13">
        <v>52</v>
      </c>
      <c r="I14" s="13"/>
      <c r="J14" s="13"/>
      <c r="K14" s="13"/>
      <c r="L14" s="13"/>
      <c r="M14" s="13"/>
      <c r="N14" s="13"/>
      <c r="O14" s="13"/>
    </row>
    <row r="15" spans="1:15" x14ac:dyDescent="0.35">
      <c r="A15" s="11" t="s">
        <v>395</v>
      </c>
      <c r="B15" s="13">
        <v>47</v>
      </c>
      <c r="C15" s="13">
        <v>50</v>
      </c>
      <c r="D15" s="13">
        <v>50</v>
      </c>
      <c r="E15" s="13">
        <v>49</v>
      </c>
      <c r="F15" s="13">
        <v>50</v>
      </c>
      <c r="G15" s="13" t="s">
        <v>381</v>
      </c>
      <c r="H15" s="13">
        <v>51</v>
      </c>
      <c r="I15" s="13"/>
      <c r="J15" s="13"/>
      <c r="K15" s="13"/>
      <c r="L15" s="13"/>
      <c r="M15" s="13"/>
      <c r="N15" s="13"/>
      <c r="O15" s="13"/>
    </row>
    <row r="16" spans="1:15" ht="30" customHeight="1" x14ac:dyDescent="0.4">
      <c r="A16" s="5" t="s">
        <v>90</v>
      </c>
      <c r="B16" s="13"/>
      <c r="C16" s="13"/>
      <c r="D16" s="13"/>
      <c r="E16" s="13"/>
      <c r="F16" s="13"/>
      <c r="G16" s="13"/>
      <c r="H16" s="13"/>
      <c r="I16" s="13"/>
      <c r="J16" s="13"/>
      <c r="K16" s="13"/>
      <c r="L16" s="13"/>
      <c r="M16" s="13"/>
      <c r="N16" s="13"/>
      <c r="O16" s="13"/>
    </row>
    <row r="17" spans="1:15" x14ac:dyDescent="0.35">
      <c r="A17" s="11" t="s">
        <v>386</v>
      </c>
      <c r="B17" s="13" t="s">
        <v>389</v>
      </c>
      <c r="C17" s="13" t="s">
        <v>390</v>
      </c>
      <c r="D17" s="13" t="s">
        <v>391</v>
      </c>
      <c r="E17" s="13" t="s">
        <v>392</v>
      </c>
      <c r="F17" s="13" t="s">
        <v>393</v>
      </c>
      <c r="G17" s="13" t="s">
        <v>381</v>
      </c>
      <c r="H17" s="13" t="s">
        <v>394</v>
      </c>
      <c r="I17" s="13"/>
      <c r="J17" s="13"/>
      <c r="K17" s="13"/>
      <c r="L17" s="13"/>
      <c r="M17" s="13"/>
      <c r="N17" s="13"/>
      <c r="O17" s="13"/>
    </row>
    <row r="18" spans="1:15" x14ac:dyDescent="0.35">
      <c r="A18" s="8" t="s">
        <v>514</v>
      </c>
      <c r="B18" s="12">
        <v>1768</v>
      </c>
      <c r="C18" s="12">
        <v>1578</v>
      </c>
      <c r="D18" s="12">
        <v>1435</v>
      </c>
      <c r="E18" s="12">
        <v>1387</v>
      </c>
      <c r="F18" s="12">
        <v>1290</v>
      </c>
      <c r="G18" s="12" t="s">
        <v>381</v>
      </c>
      <c r="H18" s="12">
        <v>1050</v>
      </c>
      <c r="I18" s="12"/>
      <c r="J18" s="12"/>
      <c r="K18" s="12"/>
      <c r="L18" s="12"/>
      <c r="M18" s="12"/>
      <c r="N18" s="12"/>
      <c r="O18" s="12"/>
    </row>
    <row r="19" spans="1:15" x14ac:dyDescent="0.35">
      <c r="A19" s="11" t="s">
        <v>515</v>
      </c>
      <c r="B19" s="13">
        <v>1940</v>
      </c>
      <c r="C19" s="13">
        <v>1769</v>
      </c>
      <c r="D19" s="13">
        <v>1580</v>
      </c>
      <c r="E19" s="13">
        <v>1490</v>
      </c>
      <c r="F19" s="13">
        <v>1369</v>
      </c>
      <c r="G19" s="13" t="s">
        <v>381</v>
      </c>
      <c r="H19" s="13">
        <v>1134</v>
      </c>
      <c r="I19" s="13"/>
      <c r="J19" s="13"/>
      <c r="K19" s="13"/>
      <c r="L19" s="13"/>
      <c r="M19" s="13"/>
      <c r="N19" s="13"/>
      <c r="O19" s="13"/>
    </row>
    <row r="20" spans="1:15" x14ac:dyDescent="0.35">
      <c r="A20" s="11" t="s">
        <v>395</v>
      </c>
      <c r="B20" s="13">
        <v>3708</v>
      </c>
      <c r="C20" s="13">
        <v>3347</v>
      </c>
      <c r="D20" s="13">
        <v>3015</v>
      </c>
      <c r="E20" s="13">
        <v>2877</v>
      </c>
      <c r="F20" s="13">
        <v>2659</v>
      </c>
      <c r="G20" s="13" t="s">
        <v>381</v>
      </c>
      <c r="H20" s="13">
        <v>2184</v>
      </c>
      <c r="I20" s="13"/>
      <c r="J20" s="13"/>
      <c r="K20" s="13"/>
      <c r="L20" s="13"/>
      <c r="M20" s="13"/>
      <c r="N20" s="13"/>
      <c r="O20" s="13"/>
    </row>
    <row r="21" spans="1:15" x14ac:dyDescent="0.35">
      <c r="A21" s="11"/>
      <c r="B21" s="13"/>
      <c r="C21" s="13"/>
      <c r="D21" s="13"/>
      <c r="E21" s="13"/>
      <c r="F21" s="13"/>
      <c r="G21" s="13"/>
      <c r="H21" s="13"/>
      <c r="I21" s="13"/>
      <c r="J21" s="13"/>
      <c r="K21" s="13"/>
      <c r="L21" s="13"/>
      <c r="M21" s="13"/>
      <c r="N21" s="13"/>
      <c r="O21" s="13"/>
    </row>
    <row r="22" spans="1:15" x14ac:dyDescent="0.35">
      <c r="A22" s="11"/>
      <c r="B22" s="13"/>
      <c r="C22" s="13"/>
      <c r="D22" s="13"/>
      <c r="E22" s="13"/>
      <c r="F22" s="13"/>
      <c r="G22" s="13"/>
      <c r="H22" s="13"/>
      <c r="I22" s="13"/>
      <c r="J22" s="13"/>
      <c r="K22" s="13"/>
      <c r="L22" s="13"/>
      <c r="M22" s="13"/>
      <c r="N22" s="13"/>
      <c r="O22" s="13"/>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96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516</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95</v>
      </c>
      <c r="B6" s="9"/>
      <c r="C6" s="9"/>
      <c r="D6" s="9"/>
      <c r="E6" s="9"/>
      <c r="F6" s="9"/>
      <c r="G6" s="9"/>
      <c r="H6" s="9"/>
      <c r="I6" s="9"/>
      <c r="J6" s="9"/>
      <c r="K6" s="9"/>
      <c r="L6" s="9"/>
      <c r="M6" s="9"/>
      <c r="N6" s="9"/>
      <c r="O6" s="9"/>
    </row>
    <row r="7" spans="1:15" x14ac:dyDescent="0.35">
      <c r="A7" s="11" t="s">
        <v>386</v>
      </c>
      <c r="B7" s="9" t="s">
        <v>391</v>
      </c>
      <c r="C7" s="9" t="s">
        <v>392</v>
      </c>
      <c r="D7" s="9" t="s">
        <v>393</v>
      </c>
      <c r="E7" s="9" t="s">
        <v>381</v>
      </c>
      <c r="F7" s="9" t="s">
        <v>394</v>
      </c>
      <c r="G7" s="9"/>
      <c r="H7" s="9"/>
      <c r="I7" s="9"/>
      <c r="J7" s="9"/>
      <c r="K7" s="9"/>
      <c r="L7" s="9"/>
      <c r="M7" s="9"/>
      <c r="N7" s="9"/>
      <c r="O7" s="9"/>
    </row>
    <row r="8" spans="1:15" x14ac:dyDescent="0.35">
      <c r="A8" s="8" t="s">
        <v>517</v>
      </c>
      <c r="B8" s="12">
        <v>841300</v>
      </c>
      <c r="C8" s="12">
        <v>817100</v>
      </c>
      <c r="D8" s="12">
        <v>684700</v>
      </c>
      <c r="E8" s="12" t="s">
        <v>396</v>
      </c>
      <c r="F8" s="12">
        <v>590200</v>
      </c>
      <c r="G8" s="12"/>
      <c r="H8" s="12"/>
      <c r="I8" s="12"/>
      <c r="J8" s="12"/>
      <c r="K8" s="12"/>
      <c r="L8" s="12"/>
      <c r="M8" s="12"/>
      <c r="N8" s="12"/>
      <c r="O8" s="12"/>
    </row>
    <row r="9" spans="1:15" x14ac:dyDescent="0.35">
      <c r="A9" s="11" t="s">
        <v>518</v>
      </c>
      <c r="B9" s="13">
        <v>429500</v>
      </c>
      <c r="C9" s="13">
        <v>427800</v>
      </c>
      <c r="D9" s="13">
        <v>449300</v>
      </c>
      <c r="E9" s="13" t="s">
        <v>396</v>
      </c>
      <c r="F9" s="13">
        <v>469000</v>
      </c>
      <c r="G9" s="13"/>
      <c r="H9" s="13"/>
      <c r="I9" s="13"/>
      <c r="J9" s="13"/>
      <c r="K9" s="13"/>
      <c r="L9" s="13"/>
      <c r="M9" s="13"/>
      <c r="N9" s="13"/>
      <c r="O9" s="13"/>
    </row>
    <row r="10" spans="1:15" x14ac:dyDescent="0.35">
      <c r="A10" s="11" t="s">
        <v>519</v>
      </c>
      <c r="B10" s="13">
        <v>218100</v>
      </c>
      <c r="C10" s="13">
        <v>252000</v>
      </c>
      <c r="D10" s="13">
        <v>206900</v>
      </c>
      <c r="E10" s="13" t="s">
        <v>396</v>
      </c>
      <c r="F10" s="13">
        <v>155900</v>
      </c>
      <c r="G10" s="13"/>
      <c r="H10" s="13"/>
      <c r="I10" s="13"/>
      <c r="J10" s="13"/>
      <c r="K10" s="13"/>
      <c r="L10" s="13"/>
      <c r="M10" s="13"/>
      <c r="N10" s="13"/>
      <c r="O10" s="13"/>
    </row>
    <row r="11" spans="1:15" x14ac:dyDescent="0.35">
      <c r="A11" s="11" t="s">
        <v>520</v>
      </c>
      <c r="B11" s="13">
        <v>107600</v>
      </c>
      <c r="C11" s="13">
        <v>103100</v>
      </c>
      <c r="D11" s="13">
        <v>100600</v>
      </c>
      <c r="E11" s="13" t="s">
        <v>396</v>
      </c>
      <c r="F11" s="13">
        <v>90800</v>
      </c>
      <c r="G11" s="13"/>
      <c r="H11" s="13"/>
      <c r="I11" s="13"/>
      <c r="J11" s="13"/>
      <c r="K11" s="13"/>
      <c r="L11" s="13"/>
      <c r="M11" s="13"/>
      <c r="N11" s="13"/>
      <c r="O11" s="13"/>
    </row>
    <row r="12" spans="1:15" x14ac:dyDescent="0.35">
      <c r="A12" s="11" t="s">
        <v>521</v>
      </c>
      <c r="B12" s="13">
        <v>48600</v>
      </c>
      <c r="C12" s="13">
        <v>67200</v>
      </c>
      <c r="D12" s="13">
        <v>87900</v>
      </c>
      <c r="E12" s="13" t="s">
        <v>396</v>
      </c>
      <c r="F12" s="13">
        <v>82000</v>
      </c>
      <c r="G12" s="13"/>
      <c r="H12" s="13"/>
      <c r="I12" s="13"/>
      <c r="J12" s="13"/>
      <c r="K12" s="13"/>
      <c r="L12" s="13"/>
      <c r="M12" s="13"/>
      <c r="N12" s="13"/>
      <c r="O12" s="13"/>
    </row>
    <row r="13" spans="1:15" x14ac:dyDescent="0.35">
      <c r="A13" s="11" t="s">
        <v>395</v>
      </c>
      <c r="B13" s="13">
        <v>260000</v>
      </c>
      <c r="C13" s="13">
        <v>252000</v>
      </c>
      <c r="D13" s="13">
        <v>222500</v>
      </c>
      <c r="E13" s="13" t="s">
        <v>396</v>
      </c>
      <c r="F13" s="13">
        <v>239500</v>
      </c>
      <c r="G13" s="13"/>
      <c r="H13" s="13"/>
      <c r="I13" s="13"/>
      <c r="J13" s="13"/>
      <c r="K13" s="13"/>
      <c r="L13" s="13"/>
      <c r="M13" s="13"/>
      <c r="N13" s="13"/>
      <c r="O13" s="13"/>
    </row>
    <row r="14" spans="1:15" ht="30" customHeight="1" x14ac:dyDescent="0.4">
      <c r="A14" s="5" t="s">
        <v>93</v>
      </c>
      <c r="B14" s="13"/>
      <c r="C14" s="13"/>
      <c r="D14" s="13"/>
      <c r="E14" s="13"/>
      <c r="F14" s="13"/>
      <c r="G14" s="13"/>
      <c r="H14" s="13"/>
      <c r="I14" s="13"/>
      <c r="J14" s="13"/>
      <c r="K14" s="13"/>
      <c r="L14" s="13"/>
      <c r="M14" s="13"/>
      <c r="N14" s="13"/>
      <c r="O14" s="13"/>
    </row>
    <row r="15" spans="1:15" x14ac:dyDescent="0.35">
      <c r="A15" s="11" t="s">
        <v>386</v>
      </c>
      <c r="B15" s="13" t="s">
        <v>391</v>
      </c>
      <c r="C15" s="13" t="s">
        <v>392</v>
      </c>
      <c r="D15" s="13" t="s">
        <v>393</v>
      </c>
      <c r="E15" s="13" t="s">
        <v>381</v>
      </c>
      <c r="F15" s="13" t="s">
        <v>394</v>
      </c>
      <c r="G15" s="13"/>
      <c r="H15" s="13"/>
      <c r="I15" s="13"/>
      <c r="J15" s="13"/>
      <c r="K15" s="13"/>
      <c r="L15" s="13"/>
      <c r="M15" s="13"/>
      <c r="N15" s="13"/>
      <c r="O15" s="13"/>
    </row>
    <row r="16" spans="1:15" x14ac:dyDescent="0.35">
      <c r="A16" s="8" t="s">
        <v>517</v>
      </c>
      <c r="B16" s="12">
        <v>53</v>
      </c>
      <c r="C16" s="12">
        <v>53</v>
      </c>
      <c r="D16" s="12">
        <v>53</v>
      </c>
      <c r="E16" s="12" t="s">
        <v>381</v>
      </c>
      <c r="F16" s="12">
        <v>52</v>
      </c>
      <c r="G16" s="12"/>
      <c r="H16" s="12"/>
      <c r="I16" s="12"/>
      <c r="J16" s="12"/>
      <c r="K16" s="12"/>
      <c r="L16" s="12"/>
      <c r="M16" s="12"/>
      <c r="N16" s="12"/>
      <c r="O16" s="12"/>
    </row>
    <row r="17" spans="1:15" x14ac:dyDescent="0.35">
      <c r="A17" s="11" t="s">
        <v>518</v>
      </c>
      <c r="B17" s="13">
        <v>53</v>
      </c>
      <c r="C17" s="13">
        <v>52</v>
      </c>
      <c r="D17" s="13">
        <v>52</v>
      </c>
      <c r="E17" s="13" t="s">
        <v>381</v>
      </c>
      <c r="F17" s="13">
        <v>56</v>
      </c>
      <c r="G17" s="13"/>
      <c r="H17" s="13"/>
      <c r="I17" s="13"/>
      <c r="J17" s="13"/>
      <c r="K17" s="13"/>
      <c r="L17" s="13"/>
      <c r="M17" s="13"/>
      <c r="N17" s="13"/>
      <c r="O17" s="13"/>
    </row>
    <row r="18" spans="1:15" x14ac:dyDescent="0.35">
      <c r="A18" s="11" t="s">
        <v>519</v>
      </c>
      <c r="B18" s="13">
        <v>51</v>
      </c>
      <c r="C18" s="13">
        <v>53</v>
      </c>
      <c r="D18" s="13">
        <v>52</v>
      </c>
      <c r="E18" s="13" t="s">
        <v>381</v>
      </c>
      <c r="F18" s="13">
        <v>52</v>
      </c>
      <c r="G18" s="13"/>
      <c r="H18" s="13"/>
      <c r="I18" s="13"/>
      <c r="J18" s="13"/>
      <c r="K18" s="13"/>
      <c r="L18" s="13"/>
      <c r="M18" s="13"/>
      <c r="N18" s="13"/>
      <c r="O18" s="13"/>
    </row>
    <row r="19" spans="1:15" x14ac:dyDescent="0.35">
      <c r="A19" s="11" t="s">
        <v>520</v>
      </c>
      <c r="B19" s="13">
        <v>56</v>
      </c>
      <c r="C19" s="13">
        <v>54</v>
      </c>
      <c r="D19" s="13">
        <v>57</v>
      </c>
      <c r="E19" s="13" t="s">
        <v>381</v>
      </c>
      <c r="F19" s="13">
        <v>61</v>
      </c>
      <c r="G19" s="13"/>
      <c r="H19" s="13"/>
      <c r="I19" s="13"/>
      <c r="J19" s="13"/>
      <c r="K19" s="13"/>
      <c r="L19" s="13"/>
      <c r="M19" s="13"/>
      <c r="N19" s="13"/>
      <c r="O19" s="13"/>
    </row>
    <row r="20" spans="1:15" x14ac:dyDescent="0.35">
      <c r="A20" s="11" t="s">
        <v>521</v>
      </c>
      <c r="B20" s="13">
        <v>62</v>
      </c>
      <c r="C20" s="13">
        <v>54</v>
      </c>
      <c r="D20" s="13">
        <v>58</v>
      </c>
      <c r="E20" s="13" t="s">
        <v>381</v>
      </c>
      <c r="F20" s="13">
        <v>62</v>
      </c>
      <c r="G20" s="13"/>
      <c r="H20" s="13"/>
      <c r="I20" s="13"/>
      <c r="J20" s="13"/>
      <c r="K20" s="13"/>
      <c r="L20" s="13"/>
      <c r="M20" s="13"/>
      <c r="N20" s="13"/>
      <c r="O20" s="13"/>
    </row>
    <row r="21" spans="1:15" x14ac:dyDescent="0.35">
      <c r="A21" s="11" t="s">
        <v>395</v>
      </c>
      <c r="B21" s="13">
        <v>54</v>
      </c>
      <c r="C21" s="13">
        <v>53</v>
      </c>
      <c r="D21" s="13">
        <v>54</v>
      </c>
      <c r="E21" s="13" t="s">
        <v>381</v>
      </c>
      <c r="F21" s="13">
        <v>55</v>
      </c>
      <c r="G21" s="13"/>
      <c r="H21" s="13"/>
      <c r="I21" s="13"/>
      <c r="J21" s="13"/>
      <c r="K21" s="13"/>
      <c r="L21" s="13"/>
      <c r="M21" s="13"/>
      <c r="N21" s="13"/>
      <c r="O21" s="13"/>
    </row>
    <row r="22" spans="1:15" ht="30" customHeight="1" x14ac:dyDescent="0.4">
      <c r="A22" s="5" t="s">
        <v>94</v>
      </c>
      <c r="B22" s="13"/>
      <c r="C22" s="13"/>
      <c r="D22" s="13"/>
      <c r="E22" s="13"/>
      <c r="F22" s="13"/>
      <c r="G22" s="13"/>
      <c r="H22" s="13"/>
      <c r="I22" s="13"/>
      <c r="J22" s="13"/>
      <c r="K22" s="13"/>
      <c r="L22" s="13"/>
      <c r="M22" s="13"/>
      <c r="N22" s="13"/>
      <c r="O22" s="13"/>
    </row>
    <row r="23" spans="1:15" x14ac:dyDescent="0.35">
      <c r="A23" s="11" t="s">
        <v>386</v>
      </c>
      <c r="B23" s="13" t="s">
        <v>391</v>
      </c>
      <c r="C23" s="13" t="s">
        <v>392</v>
      </c>
      <c r="D23" s="13" t="s">
        <v>393</v>
      </c>
      <c r="E23" s="13" t="s">
        <v>381</v>
      </c>
      <c r="F23" s="13" t="s">
        <v>394</v>
      </c>
      <c r="G23" s="13"/>
      <c r="H23" s="13"/>
      <c r="I23" s="13"/>
      <c r="J23" s="13"/>
      <c r="K23" s="13"/>
      <c r="L23" s="13"/>
      <c r="M23" s="13"/>
      <c r="N23" s="13"/>
      <c r="O23" s="13"/>
    </row>
    <row r="24" spans="1:15" x14ac:dyDescent="0.35">
      <c r="A24" s="8" t="s">
        <v>517</v>
      </c>
      <c r="B24" s="12">
        <v>391</v>
      </c>
      <c r="C24" s="12">
        <v>378</v>
      </c>
      <c r="D24" s="12">
        <v>356</v>
      </c>
      <c r="E24" s="12" t="s">
        <v>381</v>
      </c>
      <c r="F24" s="12">
        <v>292</v>
      </c>
      <c r="G24" s="12"/>
      <c r="H24" s="12"/>
      <c r="I24" s="12"/>
      <c r="J24" s="12"/>
      <c r="K24" s="12"/>
      <c r="L24" s="12"/>
      <c r="M24" s="12"/>
      <c r="N24" s="12"/>
      <c r="O24" s="12"/>
    </row>
    <row r="25" spans="1:15" x14ac:dyDescent="0.35">
      <c r="A25" s="11" t="s">
        <v>518</v>
      </c>
      <c r="B25" s="13">
        <v>349</v>
      </c>
      <c r="C25" s="13">
        <v>290</v>
      </c>
      <c r="D25" s="13">
        <v>291</v>
      </c>
      <c r="E25" s="13" t="s">
        <v>381</v>
      </c>
      <c r="F25" s="13">
        <v>249</v>
      </c>
      <c r="G25" s="13"/>
      <c r="H25" s="13"/>
      <c r="I25" s="13"/>
      <c r="J25" s="13"/>
      <c r="K25" s="13"/>
      <c r="L25" s="13"/>
      <c r="M25" s="13"/>
      <c r="N25" s="13"/>
      <c r="O25" s="13"/>
    </row>
    <row r="26" spans="1:15" x14ac:dyDescent="0.35">
      <c r="A26" s="11" t="s">
        <v>519</v>
      </c>
      <c r="B26" s="13">
        <v>315</v>
      </c>
      <c r="C26" s="13">
        <v>328</v>
      </c>
      <c r="D26" s="13">
        <v>293</v>
      </c>
      <c r="E26" s="13" t="s">
        <v>381</v>
      </c>
      <c r="F26" s="13">
        <v>206</v>
      </c>
      <c r="G26" s="13"/>
      <c r="H26" s="13"/>
      <c r="I26" s="13"/>
      <c r="J26" s="13"/>
      <c r="K26" s="13"/>
      <c r="L26" s="13"/>
      <c r="M26" s="13"/>
      <c r="N26" s="13"/>
      <c r="O26" s="13"/>
    </row>
    <row r="27" spans="1:15" x14ac:dyDescent="0.35">
      <c r="A27" s="11" t="s">
        <v>520</v>
      </c>
      <c r="B27" s="13">
        <v>316</v>
      </c>
      <c r="C27" s="13">
        <v>299</v>
      </c>
      <c r="D27" s="13">
        <v>293</v>
      </c>
      <c r="E27" s="13" t="s">
        <v>381</v>
      </c>
      <c r="F27" s="13">
        <v>237</v>
      </c>
      <c r="G27" s="13"/>
      <c r="H27" s="13"/>
      <c r="I27" s="13"/>
      <c r="J27" s="13"/>
      <c r="K27" s="13"/>
      <c r="L27" s="13"/>
      <c r="M27" s="13"/>
      <c r="N27" s="13"/>
      <c r="O27" s="13"/>
    </row>
    <row r="28" spans="1:15" x14ac:dyDescent="0.35">
      <c r="A28" s="11" t="s">
        <v>521</v>
      </c>
      <c r="B28" s="13">
        <v>325</v>
      </c>
      <c r="C28" s="13">
        <v>312</v>
      </c>
      <c r="D28" s="13">
        <v>281</v>
      </c>
      <c r="E28" s="13" t="s">
        <v>381</v>
      </c>
      <c r="F28" s="13">
        <v>245</v>
      </c>
      <c r="G28" s="13"/>
      <c r="H28" s="13"/>
      <c r="I28" s="13"/>
      <c r="J28" s="13"/>
      <c r="K28" s="13"/>
      <c r="L28" s="13"/>
      <c r="M28" s="13"/>
      <c r="N28" s="13"/>
      <c r="O28" s="13"/>
    </row>
    <row r="29" spans="1:15" x14ac:dyDescent="0.35">
      <c r="A29" s="11" t="s">
        <v>395</v>
      </c>
      <c r="B29" s="13">
        <v>1696</v>
      </c>
      <c r="C29" s="13">
        <v>1607</v>
      </c>
      <c r="D29" s="13">
        <v>1514</v>
      </c>
      <c r="E29" s="13" t="s">
        <v>381</v>
      </c>
      <c r="F29" s="13">
        <v>1229</v>
      </c>
      <c r="G29" s="13"/>
      <c r="H29" s="13"/>
      <c r="I29" s="13"/>
      <c r="J29" s="13"/>
      <c r="K29" s="13"/>
      <c r="L29" s="13"/>
      <c r="M29" s="13"/>
      <c r="N29" s="13"/>
      <c r="O29" s="13"/>
    </row>
    <row r="30" spans="1:15" x14ac:dyDescent="0.35">
      <c r="A30" s="11"/>
      <c r="B30" s="13"/>
      <c r="C30" s="13"/>
      <c r="D30" s="13"/>
      <c r="E30" s="13"/>
      <c r="F30" s="13"/>
      <c r="G30" s="13"/>
      <c r="H30" s="13"/>
      <c r="I30" s="13"/>
      <c r="J30" s="13"/>
      <c r="K30" s="13"/>
      <c r="L30" s="13"/>
      <c r="M30" s="13"/>
      <c r="N30" s="13"/>
      <c r="O30" s="13"/>
    </row>
    <row r="31" spans="1:15" x14ac:dyDescent="0.35">
      <c r="A31" s="11"/>
      <c r="B31" s="13"/>
      <c r="C31" s="13"/>
      <c r="D31" s="13"/>
      <c r="E31" s="13"/>
      <c r="F31" s="13"/>
      <c r="G31" s="13"/>
      <c r="H31" s="13"/>
      <c r="I31" s="13"/>
      <c r="J31" s="13"/>
      <c r="K31" s="13"/>
      <c r="L31" s="13"/>
      <c r="M31" s="13"/>
      <c r="N31" s="13"/>
      <c r="O31" s="13"/>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100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ht="29" x14ac:dyDescent="0.35">
      <c r="A4" s="8" t="s">
        <v>522</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99</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381</v>
      </c>
      <c r="J7" s="9" t="s">
        <v>394</v>
      </c>
      <c r="K7" s="9"/>
      <c r="L7" s="9"/>
      <c r="M7" s="9"/>
      <c r="N7" s="9"/>
      <c r="O7" s="9"/>
    </row>
    <row r="8" spans="1:15" x14ac:dyDescent="0.35">
      <c r="A8" s="8" t="s">
        <v>523</v>
      </c>
      <c r="B8" s="12">
        <v>408800</v>
      </c>
      <c r="C8" s="12">
        <v>449300</v>
      </c>
      <c r="D8" s="12">
        <v>459900</v>
      </c>
      <c r="E8" s="12">
        <v>567100</v>
      </c>
      <c r="F8" s="12">
        <v>622900</v>
      </c>
      <c r="G8" s="12">
        <v>737100</v>
      </c>
      <c r="H8" s="12">
        <v>631300</v>
      </c>
      <c r="I8" s="12" t="s">
        <v>396</v>
      </c>
      <c r="J8" s="12">
        <v>524700</v>
      </c>
      <c r="K8" s="12"/>
      <c r="L8" s="12"/>
      <c r="M8" s="12"/>
      <c r="N8" s="12"/>
      <c r="O8" s="12"/>
    </row>
    <row r="9" spans="1:15" x14ac:dyDescent="0.35">
      <c r="A9" s="11" t="s">
        <v>524</v>
      </c>
      <c r="B9" s="13">
        <v>308700</v>
      </c>
      <c r="C9" s="13">
        <v>277900</v>
      </c>
      <c r="D9" s="13">
        <v>298800</v>
      </c>
      <c r="E9" s="13">
        <v>334900</v>
      </c>
      <c r="F9" s="13">
        <v>380600</v>
      </c>
      <c r="G9" s="13">
        <v>384900</v>
      </c>
      <c r="H9" s="13">
        <v>312800</v>
      </c>
      <c r="I9" s="13" t="s">
        <v>396</v>
      </c>
      <c r="J9" s="13">
        <v>384000</v>
      </c>
      <c r="K9" s="13"/>
      <c r="L9" s="13"/>
      <c r="M9" s="13"/>
      <c r="N9" s="13"/>
      <c r="O9" s="13"/>
    </row>
    <row r="10" spans="1:15" x14ac:dyDescent="0.35">
      <c r="A10" s="11" t="s">
        <v>525</v>
      </c>
      <c r="B10" s="13">
        <v>272400</v>
      </c>
      <c r="C10" s="13">
        <v>259800</v>
      </c>
      <c r="D10" s="13">
        <v>217400</v>
      </c>
      <c r="E10" s="13">
        <v>209000</v>
      </c>
      <c r="F10" s="13">
        <v>267300</v>
      </c>
      <c r="G10" s="13">
        <v>274600</v>
      </c>
      <c r="H10" s="13">
        <v>254700</v>
      </c>
      <c r="I10" s="13" t="s">
        <v>396</v>
      </c>
      <c r="J10" s="13">
        <v>286800</v>
      </c>
      <c r="K10" s="13"/>
      <c r="L10" s="13"/>
      <c r="M10" s="13"/>
      <c r="N10" s="13"/>
      <c r="O10" s="13"/>
    </row>
    <row r="11" spans="1:15" x14ac:dyDescent="0.35">
      <c r="A11" s="11" t="s">
        <v>503</v>
      </c>
      <c r="B11" s="13">
        <v>209800</v>
      </c>
      <c r="C11" s="13">
        <v>198000</v>
      </c>
      <c r="D11" s="13">
        <v>208600</v>
      </c>
      <c r="E11" s="13">
        <v>241000</v>
      </c>
      <c r="F11" s="13">
        <v>267300</v>
      </c>
      <c r="G11" s="13">
        <v>266700</v>
      </c>
      <c r="H11" s="13">
        <v>305700</v>
      </c>
      <c r="I11" s="13" t="s">
        <v>396</v>
      </c>
      <c r="J11" s="13">
        <v>258900</v>
      </c>
      <c r="K11" s="13"/>
      <c r="L11" s="13"/>
      <c r="M11" s="13"/>
      <c r="N11" s="13"/>
      <c r="O11" s="13"/>
    </row>
    <row r="12" spans="1:15" x14ac:dyDescent="0.35">
      <c r="A12" s="11" t="s">
        <v>526</v>
      </c>
      <c r="B12" s="13">
        <v>139700</v>
      </c>
      <c r="C12" s="13">
        <v>159400</v>
      </c>
      <c r="D12" s="13">
        <v>149800</v>
      </c>
      <c r="E12" s="13">
        <v>149700</v>
      </c>
      <c r="F12" s="13">
        <v>170900</v>
      </c>
      <c r="G12" s="13">
        <v>222900</v>
      </c>
      <c r="H12" s="13">
        <v>221600</v>
      </c>
      <c r="I12" s="13" t="s">
        <v>396</v>
      </c>
      <c r="J12" s="13">
        <v>211800</v>
      </c>
      <c r="K12" s="13"/>
      <c r="L12" s="13"/>
      <c r="M12" s="13"/>
      <c r="N12" s="13"/>
      <c r="O12" s="13"/>
    </row>
    <row r="13" spans="1:15" x14ac:dyDescent="0.35">
      <c r="A13" s="11" t="s">
        <v>527</v>
      </c>
      <c r="B13" s="13">
        <v>63100</v>
      </c>
      <c r="C13" s="13">
        <v>53700</v>
      </c>
      <c r="D13" s="13">
        <v>51800</v>
      </c>
      <c r="E13" s="13">
        <v>57100</v>
      </c>
      <c r="F13" s="13">
        <v>86000</v>
      </c>
      <c r="G13" s="13">
        <v>96900</v>
      </c>
      <c r="H13" s="13">
        <v>52400</v>
      </c>
      <c r="I13" s="13" t="s">
        <v>396</v>
      </c>
      <c r="J13" s="13">
        <v>92100</v>
      </c>
      <c r="K13" s="13"/>
      <c r="L13" s="13"/>
      <c r="M13" s="13"/>
      <c r="N13" s="13"/>
      <c r="O13" s="13"/>
    </row>
    <row r="14" spans="1:15" x14ac:dyDescent="0.35">
      <c r="A14" s="11" t="s">
        <v>528</v>
      </c>
      <c r="B14" s="13">
        <v>36100</v>
      </c>
      <c r="C14" s="13">
        <v>43800</v>
      </c>
      <c r="D14" s="13">
        <v>43700</v>
      </c>
      <c r="E14" s="13">
        <v>34400</v>
      </c>
      <c r="F14" s="13">
        <v>33400</v>
      </c>
      <c r="G14" s="13">
        <v>38200</v>
      </c>
      <c r="H14" s="13">
        <v>38000</v>
      </c>
      <c r="I14" s="13" t="s">
        <v>396</v>
      </c>
      <c r="J14" s="13">
        <v>35200</v>
      </c>
      <c r="K14" s="13"/>
      <c r="L14" s="13"/>
      <c r="M14" s="13"/>
      <c r="N14" s="13"/>
      <c r="O14" s="13"/>
    </row>
    <row r="15" spans="1:15" x14ac:dyDescent="0.35">
      <c r="A15" s="11" t="s">
        <v>395</v>
      </c>
      <c r="B15" s="13">
        <v>199100</v>
      </c>
      <c r="C15" s="13">
        <v>195200</v>
      </c>
      <c r="D15" s="13">
        <v>196600</v>
      </c>
      <c r="E15" s="13">
        <v>210400</v>
      </c>
      <c r="F15" s="13">
        <v>260000</v>
      </c>
      <c r="G15" s="13">
        <v>252000</v>
      </c>
      <c r="H15" s="13">
        <v>222500</v>
      </c>
      <c r="I15" s="13" t="s">
        <v>396</v>
      </c>
      <c r="J15" s="13">
        <v>239500</v>
      </c>
      <c r="K15" s="13"/>
      <c r="L15" s="13"/>
      <c r="M15" s="13"/>
      <c r="N15" s="13"/>
      <c r="O15" s="13"/>
    </row>
    <row r="16" spans="1:15" ht="30" customHeight="1" x14ac:dyDescent="0.4">
      <c r="A16" s="5" t="s">
        <v>97</v>
      </c>
      <c r="B16" s="13"/>
      <c r="C16" s="13"/>
      <c r="D16" s="13"/>
      <c r="E16" s="13"/>
      <c r="F16" s="13"/>
      <c r="G16" s="13"/>
      <c r="H16" s="13"/>
      <c r="I16" s="13"/>
      <c r="J16" s="13"/>
      <c r="K16" s="13"/>
      <c r="L16" s="13"/>
      <c r="M16" s="13"/>
      <c r="N16" s="13"/>
      <c r="O16" s="13"/>
    </row>
    <row r="17" spans="1:15" x14ac:dyDescent="0.35">
      <c r="A17" s="11" t="s">
        <v>386</v>
      </c>
      <c r="B17" s="13" t="s">
        <v>387</v>
      </c>
      <c r="C17" s="13" t="s">
        <v>388</v>
      </c>
      <c r="D17" s="13" t="s">
        <v>389</v>
      </c>
      <c r="E17" s="13" t="s">
        <v>390</v>
      </c>
      <c r="F17" s="13" t="s">
        <v>391</v>
      </c>
      <c r="G17" s="13" t="s">
        <v>392</v>
      </c>
      <c r="H17" s="13" t="s">
        <v>393</v>
      </c>
      <c r="I17" s="13" t="s">
        <v>381</v>
      </c>
      <c r="J17" s="13" t="s">
        <v>394</v>
      </c>
      <c r="K17" s="13"/>
      <c r="L17" s="13"/>
      <c r="M17" s="13"/>
      <c r="N17" s="13"/>
      <c r="O17" s="13"/>
    </row>
    <row r="18" spans="1:15" x14ac:dyDescent="0.35">
      <c r="A18" s="8" t="s">
        <v>523</v>
      </c>
      <c r="B18" s="12">
        <v>69</v>
      </c>
      <c r="C18" s="12">
        <v>70</v>
      </c>
      <c r="D18" s="12">
        <v>70</v>
      </c>
      <c r="E18" s="12">
        <v>69</v>
      </c>
      <c r="F18" s="12">
        <v>71</v>
      </c>
      <c r="G18" s="12">
        <v>71</v>
      </c>
      <c r="H18" s="12">
        <v>72</v>
      </c>
      <c r="I18" s="12" t="s">
        <v>381</v>
      </c>
      <c r="J18" s="12">
        <v>72</v>
      </c>
      <c r="K18" s="12"/>
      <c r="L18" s="12"/>
      <c r="M18" s="12"/>
      <c r="N18" s="12"/>
      <c r="O18" s="12"/>
    </row>
    <row r="19" spans="1:15" x14ac:dyDescent="0.35">
      <c r="A19" s="11" t="s">
        <v>524</v>
      </c>
      <c r="B19" s="13">
        <v>48</v>
      </c>
      <c r="C19" s="13">
        <v>43</v>
      </c>
      <c r="D19" s="13">
        <v>45</v>
      </c>
      <c r="E19" s="13">
        <v>49</v>
      </c>
      <c r="F19" s="13">
        <v>51</v>
      </c>
      <c r="G19" s="13">
        <v>50</v>
      </c>
      <c r="H19" s="13">
        <v>49</v>
      </c>
      <c r="I19" s="13" t="s">
        <v>381</v>
      </c>
      <c r="J19" s="13">
        <v>52</v>
      </c>
      <c r="K19" s="13"/>
      <c r="L19" s="13"/>
      <c r="M19" s="13"/>
      <c r="N19" s="13"/>
      <c r="O19" s="13"/>
    </row>
    <row r="20" spans="1:15" x14ac:dyDescent="0.35">
      <c r="A20" s="11" t="s">
        <v>525</v>
      </c>
      <c r="B20" s="13">
        <v>41</v>
      </c>
      <c r="C20" s="13">
        <v>41</v>
      </c>
      <c r="D20" s="13">
        <v>40</v>
      </c>
      <c r="E20" s="13">
        <v>40</v>
      </c>
      <c r="F20" s="13">
        <v>41</v>
      </c>
      <c r="G20" s="13">
        <v>41</v>
      </c>
      <c r="H20" s="13">
        <v>41</v>
      </c>
      <c r="I20" s="13" t="s">
        <v>381</v>
      </c>
      <c r="J20" s="13">
        <v>42</v>
      </c>
      <c r="K20" s="13"/>
      <c r="L20" s="13"/>
      <c r="M20" s="13"/>
      <c r="N20" s="13"/>
      <c r="O20" s="13"/>
    </row>
    <row r="21" spans="1:15" x14ac:dyDescent="0.35">
      <c r="A21" s="11" t="s">
        <v>503</v>
      </c>
      <c r="B21" s="13">
        <v>51</v>
      </c>
      <c r="C21" s="13">
        <v>52</v>
      </c>
      <c r="D21" s="13">
        <v>54</v>
      </c>
      <c r="E21" s="13">
        <v>54</v>
      </c>
      <c r="F21" s="13">
        <v>54</v>
      </c>
      <c r="G21" s="13">
        <v>56</v>
      </c>
      <c r="H21" s="13">
        <v>56</v>
      </c>
      <c r="I21" s="13" t="s">
        <v>381</v>
      </c>
      <c r="J21" s="13">
        <v>56</v>
      </c>
      <c r="K21" s="13"/>
      <c r="L21" s="13"/>
      <c r="M21" s="13"/>
      <c r="N21" s="13"/>
      <c r="O21" s="13"/>
    </row>
    <row r="22" spans="1:15" x14ac:dyDescent="0.35">
      <c r="A22" s="11" t="s">
        <v>526</v>
      </c>
      <c r="B22" s="13">
        <v>75</v>
      </c>
      <c r="C22" s="13">
        <v>74</v>
      </c>
      <c r="D22" s="13">
        <v>75</v>
      </c>
      <c r="E22" s="13">
        <v>76</v>
      </c>
      <c r="F22" s="13">
        <v>77</v>
      </c>
      <c r="G22" s="13">
        <v>78</v>
      </c>
      <c r="H22" s="13">
        <v>76</v>
      </c>
      <c r="I22" s="13" t="s">
        <v>381</v>
      </c>
      <c r="J22" s="13">
        <v>76</v>
      </c>
      <c r="K22" s="13"/>
      <c r="L22" s="13"/>
      <c r="M22" s="13"/>
      <c r="N22" s="13"/>
      <c r="O22" s="13"/>
    </row>
    <row r="23" spans="1:15" x14ac:dyDescent="0.35">
      <c r="A23" s="11" t="s">
        <v>527</v>
      </c>
      <c r="B23" s="13">
        <v>46</v>
      </c>
      <c r="C23" s="13">
        <v>43</v>
      </c>
      <c r="D23" s="13">
        <v>45</v>
      </c>
      <c r="E23" s="13">
        <v>48</v>
      </c>
      <c r="F23" s="13">
        <v>48</v>
      </c>
      <c r="G23" s="13">
        <v>48</v>
      </c>
      <c r="H23" s="13">
        <v>51</v>
      </c>
      <c r="I23" s="13" t="s">
        <v>381</v>
      </c>
      <c r="J23" s="13">
        <v>49</v>
      </c>
      <c r="K23" s="13"/>
      <c r="L23" s="13"/>
      <c r="M23" s="13"/>
      <c r="N23" s="13"/>
      <c r="O23" s="13"/>
    </row>
    <row r="24" spans="1:15" x14ac:dyDescent="0.35">
      <c r="A24" s="11" t="s">
        <v>528</v>
      </c>
      <c r="B24" s="13">
        <v>39</v>
      </c>
      <c r="C24" s="13">
        <v>40</v>
      </c>
      <c r="D24" s="13">
        <v>39</v>
      </c>
      <c r="E24" s="13">
        <v>40</v>
      </c>
      <c r="F24" s="13">
        <v>39</v>
      </c>
      <c r="G24" s="13">
        <v>39</v>
      </c>
      <c r="H24" s="13">
        <v>41</v>
      </c>
      <c r="I24" s="13" t="s">
        <v>381</v>
      </c>
      <c r="J24" s="13">
        <v>32</v>
      </c>
      <c r="K24" s="13"/>
      <c r="L24" s="13"/>
      <c r="M24" s="13"/>
      <c r="N24" s="13"/>
      <c r="O24" s="13"/>
    </row>
    <row r="25" spans="1:15" x14ac:dyDescent="0.35">
      <c r="A25" s="11" t="s">
        <v>395</v>
      </c>
      <c r="B25" s="13">
        <v>51</v>
      </c>
      <c r="C25" s="13">
        <v>51</v>
      </c>
      <c r="D25" s="13">
        <v>53</v>
      </c>
      <c r="E25" s="13">
        <v>55</v>
      </c>
      <c r="F25" s="13">
        <v>54</v>
      </c>
      <c r="G25" s="13">
        <v>53</v>
      </c>
      <c r="H25" s="13">
        <v>54</v>
      </c>
      <c r="I25" s="13" t="s">
        <v>381</v>
      </c>
      <c r="J25" s="13">
        <v>55</v>
      </c>
      <c r="K25" s="13"/>
      <c r="L25" s="13"/>
      <c r="M25" s="13"/>
      <c r="N25" s="13"/>
      <c r="O25" s="13"/>
    </row>
    <row r="26" spans="1:15" ht="30" customHeight="1" x14ac:dyDescent="0.4">
      <c r="A26" s="5" t="s">
        <v>98</v>
      </c>
      <c r="B26" s="13"/>
      <c r="C26" s="13"/>
      <c r="D26" s="13"/>
      <c r="E26" s="13"/>
      <c r="F26" s="13"/>
      <c r="G26" s="13"/>
      <c r="H26" s="13"/>
      <c r="I26" s="13"/>
      <c r="J26" s="13"/>
      <c r="K26" s="13"/>
      <c r="L26" s="13"/>
      <c r="M26" s="13"/>
      <c r="N26" s="13"/>
      <c r="O26" s="13"/>
    </row>
    <row r="27" spans="1:15" x14ac:dyDescent="0.35">
      <c r="A27" s="11" t="s">
        <v>386</v>
      </c>
      <c r="B27" s="13" t="s">
        <v>387</v>
      </c>
      <c r="C27" s="13" t="s">
        <v>388</v>
      </c>
      <c r="D27" s="13" t="s">
        <v>389</v>
      </c>
      <c r="E27" s="13" t="s">
        <v>390</v>
      </c>
      <c r="F27" s="13" t="s">
        <v>391</v>
      </c>
      <c r="G27" s="13" t="s">
        <v>392</v>
      </c>
      <c r="H27" s="13" t="s">
        <v>393</v>
      </c>
      <c r="I27" s="13" t="s">
        <v>381</v>
      </c>
      <c r="J27" s="13" t="s">
        <v>394</v>
      </c>
      <c r="K27" s="13"/>
      <c r="L27" s="13"/>
      <c r="M27" s="13"/>
      <c r="N27" s="13"/>
      <c r="O27" s="13"/>
    </row>
    <row r="28" spans="1:15" x14ac:dyDescent="0.35">
      <c r="A28" s="8" t="s">
        <v>523</v>
      </c>
      <c r="B28" s="12">
        <v>244</v>
      </c>
      <c r="C28" s="12">
        <v>363</v>
      </c>
      <c r="D28" s="12">
        <v>401</v>
      </c>
      <c r="E28" s="12">
        <v>423</v>
      </c>
      <c r="F28" s="12">
        <v>360</v>
      </c>
      <c r="G28" s="12">
        <v>322</v>
      </c>
      <c r="H28" s="12">
        <v>320</v>
      </c>
      <c r="I28" s="12" t="s">
        <v>381</v>
      </c>
      <c r="J28" s="12">
        <v>261</v>
      </c>
      <c r="K28" s="12"/>
      <c r="L28" s="12"/>
      <c r="M28" s="12"/>
      <c r="N28" s="12"/>
      <c r="O28" s="12"/>
    </row>
    <row r="29" spans="1:15" x14ac:dyDescent="0.35">
      <c r="A29" s="11" t="s">
        <v>524</v>
      </c>
      <c r="B29" s="13">
        <v>260</v>
      </c>
      <c r="C29" s="13">
        <v>280</v>
      </c>
      <c r="D29" s="13">
        <v>263</v>
      </c>
      <c r="E29" s="13">
        <v>206</v>
      </c>
      <c r="F29" s="13">
        <v>207</v>
      </c>
      <c r="G29" s="13">
        <v>222</v>
      </c>
      <c r="H29" s="13">
        <v>198</v>
      </c>
      <c r="I29" s="13" t="s">
        <v>381</v>
      </c>
      <c r="J29" s="13">
        <v>195</v>
      </c>
      <c r="K29" s="13"/>
      <c r="L29" s="13"/>
      <c r="M29" s="13"/>
      <c r="N29" s="13"/>
      <c r="O29" s="13"/>
    </row>
    <row r="30" spans="1:15" x14ac:dyDescent="0.35">
      <c r="A30" s="11" t="s">
        <v>525</v>
      </c>
      <c r="B30" s="13">
        <v>270</v>
      </c>
      <c r="C30" s="13">
        <v>370</v>
      </c>
      <c r="D30" s="13">
        <v>370</v>
      </c>
      <c r="E30" s="13">
        <v>314</v>
      </c>
      <c r="F30" s="13">
        <v>263</v>
      </c>
      <c r="G30" s="13">
        <v>253</v>
      </c>
      <c r="H30" s="13">
        <v>217</v>
      </c>
      <c r="I30" s="13" t="s">
        <v>381</v>
      </c>
      <c r="J30" s="13">
        <v>139</v>
      </c>
      <c r="K30" s="13"/>
      <c r="L30" s="13"/>
      <c r="M30" s="13"/>
      <c r="N30" s="13"/>
      <c r="O30" s="13"/>
    </row>
    <row r="31" spans="1:15" x14ac:dyDescent="0.35">
      <c r="A31" s="11" t="s">
        <v>503</v>
      </c>
      <c r="B31" s="13">
        <v>188</v>
      </c>
      <c r="C31" s="13">
        <v>233</v>
      </c>
      <c r="D31" s="13">
        <v>279</v>
      </c>
      <c r="E31" s="13">
        <v>242</v>
      </c>
      <c r="F31" s="13">
        <v>235</v>
      </c>
      <c r="G31" s="13">
        <v>227</v>
      </c>
      <c r="H31" s="13">
        <v>193</v>
      </c>
      <c r="I31" s="13" t="s">
        <v>381</v>
      </c>
      <c r="J31" s="13">
        <v>169</v>
      </c>
      <c r="K31" s="13"/>
      <c r="L31" s="13"/>
      <c r="M31" s="13"/>
      <c r="N31" s="13"/>
      <c r="O31" s="13"/>
    </row>
    <row r="32" spans="1:15" x14ac:dyDescent="0.35">
      <c r="A32" s="11" t="s">
        <v>526</v>
      </c>
      <c r="B32" s="13">
        <v>275</v>
      </c>
      <c r="C32" s="13">
        <v>342</v>
      </c>
      <c r="D32" s="13">
        <v>366</v>
      </c>
      <c r="E32" s="13">
        <v>391</v>
      </c>
      <c r="F32" s="13">
        <v>349</v>
      </c>
      <c r="G32" s="13">
        <v>295</v>
      </c>
      <c r="H32" s="13">
        <v>302</v>
      </c>
      <c r="I32" s="13" t="s">
        <v>381</v>
      </c>
      <c r="J32" s="13">
        <v>242</v>
      </c>
      <c r="K32" s="13"/>
      <c r="L32" s="13"/>
      <c r="M32" s="13"/>
      <c r="N32" s="13"/>
      <c r="O32" s="13"/>
    </row>
    <row r="33" spans="1:15" x14ac:dyDescent="0.35">
      <c r="A33" s="11" t="s">
        <v>527</v>
      </c>
      <c r="B33" s="13">
        <v>253</v>
      </c>
      <c r="C33" s="13">
        <v>287</v>
      </c>
      <c r="D33" s="13">
        <v>284</v>
      </c>
      <c r="E33" s="13">
        <v>226</v>
      </c>
      <c r="F33" s="13">
        <v>209</v>
      </c>
      <c r="G33" s="13">
        <v>222</v>
      </c>
      <c r="H33" s="13">
        <v>231</v>
      </c>
      <c r="I33" s="13" t="s">
        <v>381</v>
      </c>
      <c r="J33" s="13">
        <v>191</v>
      </c>
      <c r="K33" s="13"/>
      <c r="L33" s="13"/>
      <c r="M33" s="13"/>
      <c r="N33" s="13"/>
      <c r="O33" s="13"/>
    </row>
    <row r="34" spans="1:15" x14ac:dyDescent="0.35">
      <c r="A34" s="11" t="s">
        <v>528</v>
      </c>
      <c r="B34" s="13">
        <v>109</v>
      </c>
      <c r="C34" s="13">
        <v>120</v>
      </c>
      <c r="D34" s="13">
        <v>106</v>
      </c>
      <c r="E34" s="13">
        <v>88</v>
      </c>
      <c r="F34" s="13">
        <v>73</v>
      </c>
      <c r="G34" s="13">
        <v>66</v>
      </c>
      <c r="H34" s="13">
        <v>53</v>
      </c>
      <c r="I34" s="13" t="s">
        <v>381</v>
      </c>
      <c r="J34" s="13">
        <v>32</v>
      </c>
      <c r="K34" s="13"/>
      <c r="L34" s="13"/>
      <c r="M34" s="13"/>
      <c r="N34" s="13"/>
      <c r="O34" s="13"/>
    </row>
    <row r="35" spans="1:15" x14ac:dyDescent="0.35">
      <c r="A35" s="11" t="s">
        <v>395</v>
      </c>
      <c r="B35" s="13">
        <v>1599</v>
      </c>
      <c r="C35" s="13">
        <v>1995</v>
      </c>
      <c r="D35" s="13">
        <v>2069</v>
      </c>
      <c r="E35" s="13">
        <v>1890</v>
      </c>
      <c r="F35" s="13">
        <v>1696</v>
      </c>
      <c r="G35" s="13">
        <v>1607</v>
      </c>
      <c r="H35" s="13">
        <v>1514</v>
      </c>
      <c r="I35" s="13" t="s">
        <v>381</v>
      </c>
      <c r="J35" s="13">
        <v>1229</v>
      </c>
      <c r="K35" s="13"/>
      <c r="L35" s="13"/>
      <c r="M35" s="13"/>
      <c r="N35" s="13"/>
      <c r="O35" s="13"/>
    </row>
    <row r="36" spans="1:15" x14ac:dyDescent="0.35">
      <c r="A36" s="11"/>
      <c r="B36" s="13"/>
      <c r="C36" s="13"/>
      <c r="D36" s="13"/>
      <c r="E36" s="13"/>
      <c r="F36" s="13"/>
      <c r="G36" s="13"/>
      <c r="H36" s="13"/>
      <c r="I36" s="13"/>
      <c r="J36" s="13"/>
      <c r="K36" s="13"/>
      <c r="L36" s="13"/>
      <c r="M36" s="13"/>
      <c r="N36" s="13"/>
      <c r="O36" s="13"/>
    </row>
    <row r="37" spans="1:15" x14ac:dyDescent="0.35">
      <c r="A37" s="11"/>
      <c r="B37" s="13"/>
      <c r="C37" s="13"/>
      <c r="D37" s="13"/>
      <c r="E37" s="13"/>
      <c r="F37" s="13"/>
      <c r="G37" s="13"/>
      <c r="H37" s="13"/>
      <c r="I37" s="13"/>
      <c r="J37" s="13"/>
      <c r="K37" s="13"/>
      <c r="L37" s="13"/>
      <c r="M37" s="13"/>
      <c r="N37" s="13"/>
      <c r="O37" s="13"/>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104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103</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381</v>
      </c>
      <c r="J6" s="9" t="s">
        <v>394</v>
      </c>
      <c r="K6" s="9"/>
      <c r="L6" s="9"/>
      <c r="M6" s="9"/>
      <c r="N6" s="9"/>
      <c r="O6" s="9"/>
    </row>
    <row r="7" spans="1:15" x14ac:dyDescent="0.35">
      <c r="A7" s="8" t="s">
        <v>529</v>
      </c>
      <c r="B7" s="12">
        <v>441400</v>
      </c>
      <c r="C7" s="12">
        <v>485400</v>
      </c>
      <c r="D7" s="12">
        <v>459900</v>
      </c>
      <c r="E7" s="12">
        <v>534000</v>
      </c>
      <c r="F7" s="12">
        <v>562900</v>
      </c>
      <c r="G7" s="12">
        <v>612400</v>
      </c>
      <c r="H7" s="12">
        <v>585000</v>
      </c>
      <c r="I7" s="12" t="s">
        <v>396</v>
      </c>
      <c r="J7" s="12">
        <v>537500</v>
      </c>
      <c r="K7" s="12"/>
      <c r="L7" s="12"/>
      <c r="M7" s="12"/>
      <c r="N7" s="12"/>
      <c r="O7" s="12"/>
    </row>
    <row r="8" spans="1:15" x14ac:dyDescent="0.35">
      <c r="A8" s="11" t="s">
        <v>530</v>
      </c>
      <c r="B8" s="13">
        <v>296400</v>
      </c>
      <c r="C8" s="13">
        <v>244100</v>
      </c>
      <c r="D8" s="13">
        <v>267300</v>
      </c>
      <c r="E8" s="13">
        <v>272000</v>
      </c>
      <c r="F8" s="13">
        <v>340100</v>
      </c>
      <c r="G8" s="13">
        <v>315700</v>
      </c>
      <c r="H8" s="13">
        <v>281300</v>
      </c>
      <c r="I8" s="13" t="s">
        <v>396</v>
      </c>
      <c r="J8" s="13">
        <v>367000</v>
      </c>
      <c r="K8" s="13"/>
      <c r="L8" s="13"/>
      <c r="M8" s="13"/>
      <c r="N8" s="13"/>
      <c r="O8" s="13"/>
    </row>
    <row r="9" spans="1:15" x14ac:dyDescent="0.35">
      <c r="A9" s="11" t="s">
        <v>531</v>
      </c>
      <c r="B9" s="13">
        <v>44600</v>
      </c>
      <c r="C9" s="13">
        <v>31100</v>
      </c>
      <c r="D9" s="13">
        <v>40300</v>
      </c>
      <c r="E9" s="13">
        <v>42000</v>
      </c>
      <c r="F9" s="13">
        <v>56100</v>
      </c>
      <c r="G9" s="13">
        <v>48200</v>
      </c>
      <c r="H9" s="13">
        <v>47200</v>
      </c>
      <c r="I9" s="13" t="s">
        <v>396</v>
      </c>
      <c r="J9" s="13">
        <v>57500</v>
      </c>
      <c r="K9" s="13"/>
      <c r="L9" s="13"/>
      <c r="M9" s="13"/>
      <c r="N9" s="13"/>
      <c r="O9" s="13"/>
    </row>
    <row r="10" spans="1:15" x14ac:dyDescent="0.35">
      <c r="A10" s="11" t="s">
        <v>532</v>
      </c>
      <c r="B10" s="13">
        <v>22100</v>
      </c>
      <c r="C10" s="13">
        <v>23600</v>
      </c>
      <c r="D10" s="13">
        <v>28300</v>
      </c>
      <c r="E10" s="13">
        <v>24600</v>
      </c>
      <c r="F10" s="13">
        <v>34400</v>
      </c>
      <c r="G10" s="13">
        <v>36800</v>
      </c>
      <c r="H10" s="13">
        <v>33800</v>
      </c>
      <c r="I10" s="13" t="s">
        <v>396</v>
      </c>
      <c r="J10" s="13">
        <v>35200</v>
      </c>
      <c r="K10" s="13"/>
      <c r="L10" s="13"/>
      <c r="M10" s="13"/>
      <c r="N10" s="13"/>
      <c r="O10" s="13"/>
    </row>
    <row r="11" spans="1:15" x14ac:dyDescent="0.35">
      <c r="A11" s="11" t="s">
        <v>395</v>
      </c>
      <c r="B11" s="13">
        <v>199100</v>
      </c>
      <c r="C11" s="13">
        <v>195200</v>
      </c>
      <c r="D11" s="13">
        <v>196700</v>
      </c>
      <c r="E11" s="13">
        <v>210400</v>
      </c>
      <c r="F11" s="13">
        <v>260000</v>
      </c>
      <c r="G11" s="13">
        <v>252000</v>
      </c>
      <c r="H11" s="13">
        <v>222500</v>
      </c>
      <c r="I11" s="13" t="s">
        <v>396</v>
      </c>
      <c r="J11" s="13">
        <v>239500</v>
      </c>
      <c r="K11" s="13"/>
      <c r="L11" s="13"/>
      <c r="M11" s="13"/>
      <c r="N11" s="13"/>
      <c r="O11" s="13"/>
    </row>
    <row r="12" spans="1:15" ht="30" customHeight="1" x14ac:dyDescent="0.4">
      <c r="A12" s="5" t="s">
        <v>101</v>
      </c>
      <c r="B12" s="13"/>
      <c r="C12" s="13"/>
      <c r="D12" s="13"/>
      <c r="E12" s="13"/>
      <c r="F12" s="13"/>
      <c r="G12" s="13"/>
      <c r="H12" s="13"/>
      <c r="I12" s="13"/>
      <c r="J12" s="13"/>
      <c r="K12" s="13"/>
      <c r="L12" s="13"/>
      <c r="M12" s="13"/>
      <c r="N12" s="13"/>
      <c r="O12" s="13"/>
    </row>
    <row r="13" spans="1:15" x14ac:dyDescent="0.35">
      <c r="A13" s="11" t="s">
        <v>386</v>
      </c>
      <c r="B13" s="13" t="s">
        <v>387</v>
      </c>
      <c r="C13" s="13" t="s">
        <v>388</v>
      </c>
      <c r="D13" s="13" t="s">
        <v>389</v>
      </c>
      <c r="E13" s="13" t="s">
        <v>390</v>
      </c>
      <c r="F13" s="13" t="s">
        <v>391</v>
      </c>
      <c r="G13" s="13" t="s">
        <v>392</v>
      </c>
      <c r="H13" s="13" t="s">
        <v>393</v>
      </c>
      <c r="I13" s="13" t="s">
        <v>381</v>
      </c>
      <c r="J13" s="13" t="s">
        <v>394</v>
      </c>
      <c r="K13" s="13"/>
      <c r="L13" s="13"/>
      <c r="M13" s="13"/>
      <c r="N13" s="13"/>
      <c r="O13" s="13"/>
    </row>
    <row r="14" spans="1:15" x14ac:dyDescent="0.35">
      <c r="A14" s="8" t="s">
        <v>529</v>
      </c>
      <c r="B14" s="12">
        <v>67</v>
      </c>
      <c r="C14" s="12">
        <v>66</v>
      </c>
      <c r="D14" s="12">
        <v>66</v>
      </c>
      <c r="E14" s="12">
        <v>66</v>
      </c>
      <c r="F14" s="12">
        <v>68</v>
      </c>
      <c r="G14" s="12">
        <v>68</v>
      </c>
      <c r="H14" s="12">
        <v>68</v>
      </c>
      <c r="I14" s="12" t="s">
        <v>381</v>
      </c>
      <c r="J14" s="12">
        <v>68</v>
      </c>
      <c r="K14" s="12"/>
      <c r="L14" s="12"/>
      <c r="M14" s="12"/>
      <c r="N14" s="12"/>
      <c r="O14" s="12"/>
    </row>
    <row r="15" spans="1:15" x14ac:dyDescent="0.35">
      <c r="A15" s="11" t="s">
        <v>530</v>
      </c>
      <c r="B15" s="13">
        <v>44</v>
      </c>
      <c r="C15" s="13">
        <v>43</v>
      </c>
      <c r="D15" s="13">
        <v>44</v>
      </c>
      <c r="E15" s="13">
        <v>44</v>
      </c>
      <c r="F15" s="13">
        <v>45</v>
      </c>
      <c r="G15" s="13">
        <v>44</v>
      </c>
      <c r="H15" s="13">
        <v>43</v>
      </c>
      <c r="I15" s="13" t="s">
        <v>381</v>
      </c>
      <c r="J15" s="13">
        <v>45</v>
      </c>
      <c r="K15" s="13"/>
      <c r="L15" s="13"/>
      <c r="M15" s="13"/>
      <c r="N15" s="13"/>
      <c r="O15" s="13"/>
    </row>
    <row r="16" spans="1:15" x14ac:dyDescent="0.35">
      <c r="A16" s="11" t="s">
        <v>531</v>
      </c>
      <c r="B16" s="13">
        <v>38</v>
      </c>
      <c r="C16" s="13">
        <v>35</v>
      </c>
      <c r="D16" s="13">
        <v>35</v>
      </c>
      <c r="E16" s="13">
        <v>42</v>
      </c>
      <c r="F16" s="13">
        <v>39</v>
      </c>
      <c r="G16" s="13">
        <v>38</v>
      </c>
      <c r="H16" s="13">
        <v>38</v>
      </c>
      <c r="I16" s="13" t="s">
        <v>381</v>
      </c>
      <c r="J16" s="13">
        <v>43</v>
      </c>
      <c r="K16" s="13"/>
      <c r="L16" s="13"/>
      <c r="M16" s="13"/>
      <c r="N16" s="13"/>
      <c r="O16" s="13"/>
    </row>
    <row r="17" spans="1:15" x14ac:dyDescent="0.35">
      <c r="A17" s="11" t="s">
        <v>532</v>
      </c>
      <c r="B17" s="13">
        <v>53</v>
      </c>
      <c r="C17" s="13">
        <v>54</v>
      </c>
      <c r="D17" s="13">
        <v>56</v>
      </c>
      <c r="E17" s="13">
        <v>59</v>
      </c>
      <c r="F17" s="13">
        <v>58</v>
      </c>
      <c r="G17" s="13">
        <v>55</v>
      </c>
      <c r="H17" s="13">
        <v>55</v>
      </c>
      <c r="I17" s="13" t="s">
        <v>381</v>
      </c>
      <c r="J17" s="13">
        <v>55</v>
      </c>
      <c r="K17" s="13"/>
      <c r="L17" s="13"/>
      <c r="M17" s="13"/>
      <c r="N17" s="13"/>
      <c r="O17" s="13"/>
    </row>
    <row r="18" spans="1:15" x14ac:dyDescent="0.35">
      <c r="A18" s="11" t="s">
        <v>395</v>
      </c>
      <c r="B18" s="13">
        <v>51</v>
      </c>
      <c r="C18" s="13">
        <v>51</v>
      </c>
      <c r="D18" s="13">
        <v>53</v>
      </c>
      <c r="E18" s="13">
        <v>55</v>
      </c>
      <c r="F18" s="13">
        <v>54</v>
      </c>
      <c r="G18" s="13">
        <v>53</v>
      </c>
      <c r="H18" s="13">
        <v>54</v>
      </c>
      <c r="I18" s="13" t="s">
        <v>381</v>
      </c>
      <c r="J18" s="13">
        <v>55</v>
      </c>
      <c r="K18" s="13"/>
      <c r="L18" s="13"/>
      <c r="M18" s="13"/>
      <c r="N18" s="13"/>
      <c r="O18" s="13"/>
    </row>
    <row r="19" spans="1:15" ht="30" customHeight="1" x14ac:dyDescent="0.4">
      <c r="A19" s="5" t="s">
        <v>102</v>
      </c>
      <c r="B19" s="13"/>
      <c r="C19" s="13"/>
      <c r="D19" s="13"/>
      <c r="E19" s="13"/>
      <c r="F19" s="13"/>
      <c r="G19" s="13"/>
      <c r="H19" s="13"/>
      <c r="I19" s="13"/>
      <c r="J19" s="13"/>
      <c r="K19" s="13"/>
      <c r="L19" s="13"/>
      <c r="M19" s="13"/>
      <c r="N19" s="13"/>
      <c r="O19" s="13"/>
    </row>
    <row r="20" spans="1:15" x14ac:dyDescent="0.35">
      <c r="A20" s="11" t="s">
        <v>386</v>
      </c>
      <c r="B20" s="13" t="s">
        <v>387</v>
      </c>
      <c r="C20" s="13" t="s">
        <v>388</v>
      </c>
      <c r="D20" s="13" t="s">
        <v>389</v>
      </c>
      <c r="E20" s="13" t="s">
        <v>390</v>
      </c>
      <c r="F20" s="13" t="s">
        <v>391</v>
      </c>
      <c r="G20" s="13" t="s">
        <v>392</v>
      </c>
      <c r="H20" s="13" t="s">
        <v>393</v>
      </c>
      <c r="I20" s="13" t="s">
        <v>381</v>
      </c>
      <c r="J20" s="13" t="s">
        <v>394</v>
      </c>
      <c r="K20" s="13"/>
      <c r="L20" s="13"/>
      <c r="M20" s="13"/>
      <c r="N20" s="13"/>
      <c r="O20" s="13"/>
    </row>
    <row r="21" spans="1:15" x14ac:dyDescent="0.35">
      <c r="A21" s="8" t="s">
        <v>529</v>
      </c>
      <c r="B21" s="12">
        <v>510</v>
      </c>
      <c r="C21" s="12">
        <v>713</v>
      </c>
      <c r="D21" s="12">
        <v>791</v>
      </c>
      <c r="E21" s="12">
        <v>793</v>
      </c>
      <c r="F21" s="12">
        <v>758</v>
      </c>
      <c r="G21" s="12">
        <v>722</v>
      </c>
      <c r="H21" s="12">
        <v>728</v>
      </c>
      <c r="I21" s="12" t="s">
        <v>381</v>
      </c>
      <c r="J21" s="12">
        <v>666</v>
      </c>
      <c r="K21" s="12"/>
      <c r="L21" s="12"/>
      <c r="M21" s="12"/>
      <c r="N21" s="12"/>
      <c r="O21" s="12"/>
    </row>
    <row r="22" spans="1:15" x14ac:dyDescent="0.35">
      <c r="A22" s="11" t="s">
        <v>530</v>
      </c>
      <c r="B22" s="13">
        <v>549</v>
      </c>
      <c r="C22" s="13">
        <v>677</v>
      </c>
      <c r="D22" s="13">
        <v>634</v>
      </c>
      <c r="E22" s="13">
        <v>537</v>
      </c>
      <c r="F22" s="13">
        <v>446</v>
      </c>
      <c r="G22" s="13">
        <v>428</v>
      </c>
      <c r="H22" s="13">
        <v>373</v>
      </c>
      <c r="I22" s="13" t="s">
        <v>381</v>
      </c>
      <c r="J22" s="13">
        <v>283</v>
      </c>
      <c r="K22" s="13"/>
      <c r="L22" s="13"/>
      <c r="M22" s="13"/>
      <c r="N22" s="13"/>
      <c r="O22" s="13"/>
    </row>
    <row r="23" spans="1:15" x14ac:dyDescent="0.35">
      <c r="A23" s="11" t="s">
        <v>531</v>
      </c>
      <c r="B23" s="13">
        <v>158</v>
      </c>
      <c r="C23" s="13">
        <v>153</v>
      </c>
      <c r="D23" s="13">
        <v>194</v>
      </c>
      <c r="E23" s="13">
        <v>156</v>
      </c>
      <c r="F23" s="13">
        <v>143</v>
      </c>
      <c r="G23" s="13">
        <v>148</v>
      </c>
      <c r="H23" s="13">
        <v>118</v>
      </c>
      <c r="I23" s="13" t="s">
        <v>381</v>
      </c>
      <c r="J23" s="13">
        <v>87</v>
      </c>
      <c r="K23" s="13"/>
      <c r="L23" s="13"/>
      <c r="M23" s="13"/>
      <c r="N23" s="13"/>
      <c r="O23" s="13"/>
    </row>
    <row r="24" spans="1:15" x14ac:dyDescent="0.35">
      <c r="A24" s="11" t="s">
        <v>532</v>
      </c>
      <c r="B24" s="13">
        <v>382</v>
      </c>
      <c r="C24" s="13">
        <v>452</v>
      </c>
      <c r="D24" s="13">
        <v>449</v>
      </c>
      <c r="E24" s="13">
        <v>404</v>
      </c>
      <c r="F24" s="13">
        <v>349</v>
      </c>
      <c r="G24" s="13">
        <v>309</v>
      </c>
      <c r="H24" s="13">
        <v>295</v>
      </c>
      <c r="I24" s="13" t="s">
        <v>381</v>
      </c>
      <c r="J24" s="13">
        <v>193</v>
      </c>
      <c r="K24" s="13"/>
      <c r="L24" s="13"/>
      <c r="M24" s="13"/>
      <c r="N24" s="13"/>
      <c r="O24" s="13"/>
    </row>
    <row r="25" spans="1:15" x14ac:dyDescent="0.35">
      <c r="A25" s="11" t="s">
        <v>395</v>
      </c>
      <c r="B25" s="13">
        <v>1599</v>
      </c>
      <c r="C25" s="13">
        <v>1995</v>
      </c>
      <c r="D25" s="13">
        <v>2068</v>
      </c>
      <c r="E25" s="13">
        <v>1890</v>
      </c>
      <c r="F25" s="13">
        <v>1696</v>
      </c>
      <c r="G25" s="13">
        <v>1607</v>
      </c>
      <c r="H25" s="13">
        <v>1514</v>
      </c>
      <c r="I25" s="13" t="s">
        <v>381</v>
      </c>
      <c r="J25" s="13">
        <v>1229</v>
      </c>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108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ht="43.5" x14ac:dyDescent="0.35">
      <c r="A4" s="8" t="s">
        <v>533</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107</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381</v>
      </c>
      <c r="J7" s="9" t="s">
        <v>394</v>
      </c>
      <c r="K7" s="9"/>
      <c r="L7" s="9"/>
      <c r="M7" s="9"/>
      <c r="N7" s="9"/>
      <c r="O7" s="9"/>
    </row>
    <row r="8" spans="1:15" x14ac:dyDescent="0.35">
      <c r="A8" s="8" t="s">
        <v>534</v>
      </c>
      <c r="B8" s="12">
        <v>280900</v>
      </c>
      <c r="C8" s="12">
        <v>324400</v>
      </c>
      <c r="D8" s="12">
        <v>343700</v>
      </c>
      <c r="E8" s="12">
        <v>386100</v>
      </c>
      <c r="F8" s="12">
        <v>359700</v>
      </c>
      <c r="G8" s="12">
        <v>505600</v>
      </c>
      <c r="H8" s="12">
        <v>310600</v>
      </c>
      <c r="I8" s="12" t="s">
        <v>396</v>
      </c>
      <c r="J8" s="12">
        <v>439700</v>
      </c>
      <c r="K8" s="12"/>
      <c r="L8" s="12"/>
      <c r="M8" s="12"/>
      <c r="N8" s="12"/>
      <c r="O8" s="12"/>
    </row>
    <row r="9" spans="1:15" x14ac:dyDescent="0.35">
      <c r="A9" s="11" t="s">
        <v>535</v>
      </c>
      <c r="B9" s="13">
        <v>176300</v>
      </c>
      <c r="C9" s="13">
        <v>182800</v>
      </c>
      <c r="D9" s="13">
        <v>187800</v>
      </c>
      <c r="E9" s="13">
        <v>190800</v>
      </c>
      <c r="F9" s="13">
        <v>224800</v>
      </c>
      <c r="G9" s="13">
        <v>214000</v>
      </c>
      <c r="H9" s="13">
        <v>203300</v>
      </c>
      <c r="I9" s="13" t="s">
        <v>396</v>
      </c>
      <c r="J9" s="13">
        <v>224500</v>
      </c>
      <c r="K9" s="13"/>
      <c r="L9" s="13"/>
      <c r="M9" s="13"/>
      <c r="N9" s="13"/>
      <c r="O9" s="13"/>
    </row>
    <row r="10" spans="1:15" x14ac:dyDescent="0.35">
      <c r="A10" s="11" t="s">
        <v>395</v>
      </c>
      <c r="B10" s="13">
        <v>199100</v>
      </c>
      <c r="C10" s="13">
        <v>194500</v>
      </c>
      <c r="D10" s="13">
        <v>196600</v>
      </c>
      <c r="E10" s="13">
        <v>210400</v>
      </c>
      <c r="F10" s="13">
        <v>258200</v>
      </c>
      <c r="G10" s="13">
        <v>252000</v>
      </c>
      <c r="H10" s="13">
        <v>221600</v>
      </c>
      <c r="I10" s="13" t="s">
        <v>396</v>
      </c>
      <c r="J10" s="13">
        <v>239500</v>
      </c>
      <c r="K10" s="13"/>
      <c r="L10" s="13"/>
      <c r="M10" s="13"/>
      <c r="N10" s="13"/>
      <c r="O10" s="13"/>
    </row>
    <row r="11" spans="1:15" ht="30" customHeight="1" x14ac:dyDescent="0.4">
      <c r="A11" s="5" t="s">
        <v>105</v>
      </c>
      <c r="B11" s="13"/>
      <c r="C11" s="13"/>
      <c r="D11" s="13"/>
      <c r="E11" s="13"/>
      <c r="F11" s="13"/>
      <c r="G11" s="13"/>
      <c r="H11" s="13"/>
      <c r="I11" s="13"/>
      <c r="J11" s="13"/>
      <c r="K11" s="13"/>
      <c r="L11" s="13"/>
      <c r="M11" s="13"/>
      <c r="N11" s="13"/>
      <c r="O11" s="13"/>
    </row>
    <row r="12" spans="1:15" x14ac:dyDescent="0.35">
      <c r="A12" s="11" t="s">
        <v>386</v>
      </c>
      <c r="B12" s="13" t="s">
        <v>387</v>
      </c>
      <c r="C12" s="13" t="s">
        <v>388</v>
      </c>
      <c r="D12" s="13" t="s">
        <v>389</v>
      </c>
      <c r="E12" s="13" t="s">
        <v>390</v>
      </c>
      <c r="F12" s="13" t="s">
        <v>391</v>
      </c>
      <c r="G12" s="13" t="s">
        <v>392</v>
      </c>
      <c r="H12" s="13" t="s">
        <v>393</v>
      </c>
      <c r="I12" s="13" t="s">
        <v>381</v>
      </c>
      <c r="J12" s="13" t="s">
        <v>394</v>
      </c>
      <c r="K12" s="13"/>
      <c r="L12" s="13"/>
      <c r="M12" s="13"/>
      <c r="N12" s="13"/>
      <c r="O12" s="13"/>
    </row>
    <row r="13" spans="1:15" x14ac:dyDescent="0.35">
      <c r="A13" s="8" t="s">
        <v>534</v>
      </c>
      <c r="B13" s="12">
        <v>54</v>
      </c>
      <c r="C13" s="12">
        <v>55</v>
      </c>
      <c r="D13" s="12">
        <v>56</v>
      </c>
      <c r="E13" s="12">
        <v>57</v>
      </c>
      <c r="F13" s="12">
        <v>62</v>
      </c>
      <c r="G13" s="12">
        <v>57</v>
      </c>
      <c r="H13" s="12">
        <v>55</v>
      </c>
      <c r="I13" s="12" t="s">
        <v>381</v>
      </c>
      <c r="J13" s="12">
        <v>59</v>
      </c>
      <c r="K13" s="12"/>
      <c r="L13" s="12"/>
      <c r="M13" s="12"/>
      <c r="N13" s="12"/>
      <c r="O13" s="12"/>
    </row>
    <row r="14" spans="1:15" x14ac:dyDescent="0.35">
      <c r="A14" s="11" t="s">
        <v>535</v>
      </c>
      <c r="B14" s="13">
        <v>50</v>
      </c>
      <c r="C14" s="13">
        <v>50</v>
      </c>
      <c r="D14" s="13">
        <v>52</v>
      </c>
      <c r="E14" s="13">
        <v>54</v>
      </c>
      <c r="F14" s="13">
        <v>54</v>
      </c>
      <c r="G14" s="13">
        <v>52</v>
      </c>
      <c r="H14" s="13">
        <v>54</v>
      </c>
      <c r="I14" s="13" t="s">
        <v>381</v>
      </c>
      <c r="J14" s="13">
        <v>55</v>
      </c>
      <c r="K14" s="13"/>
      <c r="L14" s="13"/>
      <c r="M14" s="13"/>
      <c r="N14" s="13"/>
      <c r="O14" s="13"/>
    </row>
    <row r="15" spans="1:15" x14ac:dyDescent="0.35">
      <c r="A15" s="11" t="s">
        <v>395</v>
      </c>
      <c r="B15" s="13">
        <v>51</v>
      </c>
      <c r="C15" s="13">
        <v>51</v>
      </c>
      <c r="D15" s="13">
        <v>52</v>
      </c>
      <c r="E15" s="13">
        <v>55</v>
      </c>
      <c r="F15" s="13">
        <v>54</v>
      </c>
      <c r="G15" s="13">
        <v>53</v>
      </c>
      <c r="H15" s="13">
        <v>54</v>
      </c>
      <c r="I15" s="13" t="s">
        <v>381</v>
      </c>
      <c r="J15" s="13">
        <v>55</v>
      </c>
      <c r="K15" s="13"/>
      <c r="L15" s="13"/>
      <c r="M15" s="13"/>
      <c r="N15" s="13"/>
      <c r="O15" s="13"/>
    </row>
    <row r="16" spans="1:15" ht="30" customHeight="1" x14ac:dyDescent="0.4">
      <c r="A16" s="5" t="s">
        <v>106</v>
      </c>
      <c r="B16" s="13"/>
      <c r="C16" s="13"/>
      <c r="D16" s="13"/>
      <c r="E16" s="13"/>
      <c r="F16" s="13"/>
      <c r="G16" s="13"/>
      <c r="H16" s="13"/>
      <c r="I16" s="13"/>
      <c r="J16" s="13"/>
      <c r="K16" s="13"/>
      <c r="L16" s="13"/>
      <c r="M16" s="13"/>
      <c r="N16" s="13"/>
      <c r="O16" s="13"/>
    </row>
    <row r="17" spans="1:15" x14ac:dyDescent="0.35">
      <c r="A17" s="11" t="s">
        <v>386</v>
      </c>
      <c r="B17" s="13" t="s">
        <v>387</v>
      </c>
      <c r="C17" s="13" t="s">
        <v>388</v>
      </c>
      <c r="D17" s="13" t="s">
        <v>389</v>
      </c>
      <c r="E17" s="13" t="s">
        <v>390</v>
      </c>
      <c r="F17" s="13" t="s">
        <v>391</v>
      </c>
      <c r="G17" s="13" t="s">
        <v>392</v>
      </c>
      <c r="H17" s="13" t="s">
        <v>393</v>
      </c>
      <c r="I17" s="13" t="s">
        <v>381</v>
      </c>
      <c r="J17" s="13" t="s">
        <v>394</v>
      </c>
      <c r="K17" s="13"/>
      <c r="L17" s="13"/>
      <c r="M17" s="13"/>
      <c r="N17" s="13"/>
      <c r="O17" s="13"/>
    </row>
    <row r="18" spans="1:15" x14ac:dyDescent="0.35">
      <c r="A18" s="8" t="s">
        <v>534</v>
      </c>
      <c r="B18" s="12">
        <v>467</v>
      </c>
      <c r="C18" s="12">
        <v>294</v>
      </c>
      <c r="D18" s="12">
        <v>316</v>
      </c>
      <c r="E18" s="12">
        <v>334</v>
      </c>
      <c r="F18" s="12">
        <v>299</v>
      </c>
      <c r="G18" s="12">
        <v>290</v>
      </c>
      <c r="H18" s="12">
        <v>293</v>
      </c>
      <c r="I18" s="12" t="s">
        <v>381</v>
      </c>
      <c r="J18" s="12">
        <v>270</v>
      </c>
      <c r="K18" s="12"/>
      <c r="L18" s="12"/>
      <c r="M18" s="12"/>
      <c r="N18" s="12"/>
      <c r="O18" s="12"/>
    </row>
    <row r="19" spans="1:15" x14ac:dyDescent="0.35">
      <c r="A19" s="11" t="s">
        <v>535</v>
      </c>
      <c r="B19" s="13">
        <v>1130</v>
      </c>
      <c r="C19" s="13">
        <v>1695</v>
      </c>
      <c r="D19" s="13">
        <v>1751</v>
      </c>
      <c r="E19" s="13">
        <v>1555</v>
      </c>
      <c r="F19" s="13">
        <v>1393</v>
      </c>
      <c r="G19" s="13">
        <v>1317</v>
      </c>
      <c r="H19" s="13">
        <v>1219</v>
      </c>
      <c r="I19" s="13" t="s">
        <v>381</v>
      </c>
      <c r="J19" s="13">
        <v>959</v>
      </c>
      <c r="K19" s="13"/>
      <c r="L19" s="13"/>
      <c r="M19" s="13"/>
      <c r="N19" s="13"/>
      <c r="O19" s="13"/>
    </row>
    <row r="20" spans="1:15" x14ac:dyDescent="0.35">
      <c r="A20" s="11" t="s">
        <v>395</v>
      </c>
      <c r="B20" s="13">
        <v>1597</v>
      </c>
      <c r="C20" s="13">
        <v>1989</v>
      </c>
      <c r="D20" s="13">
        <v>2067</v>
      </c>
      <c r="E20" s="13">
        <v>1889</v>
      </c>
      <c r="F20" s="13">
        <v>1692</v>
      </c>
      <c r="G20" s="13">
        <v>1607</v>
      </c>
      <c r="H20" s="13">
        <v>1512</v>
      </c>
      <c r="I20" s="13" t="s">
        <v>381</v>
      </c>
      <c r="J20" s="13">
        <v>1229</v>
      </c>
      <c r="K20" s="13"/>
      <c r="L20" s="13"/>
      <c r="M20" s="13"/>
      <c r="N20" s="13"/>
      <c r="O20" s="13"/>
    </row>
    <row r="21" spans="1:15" x14ac:dyDescent="0.35">
      <c r="A21" s="11"/>
      <c r="B21" s="13"/>
      <c r="C21" s="13"/>
      <c r="D21" s="13"/>
      <c r="E21" s="13"/>
      <c r="F21" s="13"/>
      <c r="G21" s="13"/>
      <c r="H21" s="13"/>
      <c r="I21" s="13"/>
      <c r="J21" s="13"/>
      <c r="K21" s="13"/>
      <c r="L21" s="13"/>
      <c r="M21" s="13"/>
      <c r="N21" s="13"/>
      <c r="O21" s="13"/>
    </row>
    <row r="22" spans="1:15" x14ac:dyDescent="0.35">
      <c r="A22" s="11"/>
      <c r="B22" s="13"/>
      <c r="C22" s="13"/>
      <c r="D22" s="13"/>
      <c r="E22" s="13"/>
      <c r="F22" s="13"/>
      <c r="G22" s="13"/>
      <c r="H22" s="13"/>
      <c r="I22" s="13"/>
      <c r="J22" s="13"/>
      <c r="K22" s="13"/>
      <c r="L22" s="13"/>
      <c r="M22" s="13"/>
      <c r="N22" s="13"/>
      <c r="O22" s="13"/>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112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111</v>
      </c>
      <c r="B5" s="9"/>
      <c r="C5" s="9"/>
      <c r="D5" s="9"/>
      <c r="E5" s="9"/>
      <c r="F5" s="9"/>
      <c r="G5" s="9"/>
      <c r="H5" s="9"/>
      <c r="I5" s="9"/>
      <c r="J5" s="9"/>
      <c r="K5" s="9"/>
      <c r="L5" s="9"/>
      <c r="M5" s="9"/>
      <c r="N5" s="9"/>
      <c r="O5" s="9"/>
    </row>
    <row r="6" spans="1:15" x14ac:dyDescent="0.35">
      <c r="A6" s="11" t="s">
        <v>467</v>
      </c>
      <c r="B6" s="9" t="s">
        <v>416</v>
      </c>
      <c r="C6" s="9" t="s">
        <v>417</v>
      </c>
      <c r="D6" s="9" t="s">
        <v>418</v>
      </c>
      <c r="E6" s="9" t="s">
        <v>419</v>
      </c>
      <c r="F6" s="9" t="s">
        <v>420</v>
      </c>
      <c r="G6" s="9" t="s">
        <v>421</v>
      </c>
      <c r="H6" s="9" t="s">
        <v>422</v>
      </c>
      <c r="I6" s="9" t="s">
        <v>423</v>
      </c>
      <c r="J6" s="9" t="s">
        <v>424</v>
      </c>
      <c r="K6" s="9" t="s">
        <v>425</v>
      </c>
      <c r="L6" s="9"/>
      <c r="M6" s="9"/>
      <c r="N6" s="9"/>
      <c r="O6" s="9"/>
    </row>
    <row r="7" spans="1:15" x14ac:dyDescent="0.35">
      <c r="A7" s="8" t="s">
        <v>394</v>
      </c>
      <c r="B7" s="12">
        <v>-6400</v>
      </c>
      <c r="C7" s="12">
        <v>-900</v>
      </c>
      <c r="D7" s="12">
        <v>400</v>
      </c>
      <c r="E7" s="12">
        <v>2500</v>
      </c>
      <c r="F7" s="12">
        <v>7500</v>
      </c>
      <c r="G7" s="12">
        <v>16500</v>
      </c>
      <c r="H7" s="12">
        <v>26200</v>
      </c>
      <c r="I7" s="12">
        <v>51000</v>
      </c>
      <c r="J7" s="12">
        <v>108000</v>
      </c>
      <c r="K7" s="12">
        <v>250000</v>
      </c>
      <c r="L7" s="12"/>
      <c r="M7" s="12"/>
      <c r="N7" s="12"/>
      <c r="O7" s="12"/>
    </row>
    <row r="8" spans="1:15" ht="30" customHeight="1" x14ac:dyDescent="0.4">
      <c r="A8" s="5" t="s">
        <v>109</v>
      </c>
      <c r="B8" s="13"/>
      <c r="C8" s="13"/>
      <c r="D8" s="13"/>
      <c r="E8" s="13"/>
      <c r="F8" s="13"/>
      <c r="G8" s="13"/>
      <c r="H8" s="13"/>
      <c r="I8" s="13"/>
      <c r="J8" s="13"/>
      <c r="K8" s="13"/>
      <c r="L8" s="13"/>
      <c r="M8" s="13"/>
      <c r="N8" s="13"/>
      <c r="O8" s="13"/>
    </row>
    <row r="9" spans="1:15" x14ac:dyDescent="0.35">
      <c r="A9" s="11" t="s">
        <v>467</v>
      </c>
      <c r="B9" s="13" t="s">
        <v>416</v>
      </c>
      <c r="C9" s="13" t="s">
        <v>417</v>
      </c>
      <c r="D9" s="13" t="s">
        <v>418</v>
      </c>
      <c r="E9" s="13" t="s">
        <v>419</v>
      </c>
      <c r="F9" s="13" t="s">
        <v>420</v>
      </c>
      <c r="G9" s="13" t="s">
        <v>421</v>
      </c>
      <c r="H9" s="13" t="s">
        <v>422</v>
      </c>
      <c r="I9" s="13" t="s">
        <v>423</v>
      </c>
      <c r="J9" s="13" t="s">
        <v>424</v>
      </c>
      <c r="K9" s="13" t="s">
        <v>425</v>
      </c>
      <c r="L9" s="13"/>
      <c r="M9" s="13"/>
      <c r="N9" s="13"/>
      <c r="O9" s="13"/>
    </row>
    <row r="10" spans="1:15" x14ac:dyDescent="0.35">
      <c r="A10" s="8" t="s">
        <v>394</v>
      </c>
      <c r="B10" s="12">
        <v>42</v>
      </c>
      <c r="C10" s="12">
        <v>50</v>
      </c>
      <c r="D10" s="12">
        <v>60</v>
      </c>
      <c r="E10" s="12">
        <v>52</v>
      </c>
      <c r="F10" s="12">
        <v>59</v>
      </c>
      <c r="G10" s="12">
        <v>55</v>
      </c>
      <c r="H10" s="12">
        <v>56</v>
      </c>
      <c r="I10" s="12">
        <v>62</v>
      </c>
      <c r="J10" s="12">
        <v>60</v>
      </c>
      <c r="K10" s="12">
        <v>64</v>
      </c>
      <c r="L10" s="12"/>
      <c r="M10" s="12"/>
      <c r="N10" s="12"/>
      <c r="O10" s="12"/>
    </row>
    <row r="11" spans="1:15" ht="30" customHeight="1" x14ac:dyDescent="0.4">
      <c r="A11" s="5" t="s">
        <v>110</v>
      </c>
      <c r="B11" s="13"/>
      <c r="C11" s="13"/>
      <c r="D11" s="13"/>
      <c r="E11" s="13"/>
      <c r="F11" s="13"/>
      <c r="G11" s="13"/>
      <c r="H11" s="13"/>
      <c r="I11" s="13"/>
      <c r="J11" s="13"/>
      <c r="K11" s="13"/>
      <c r="L11" s="13"/>
      <c r="M11" s="13"/>
      <c r="N11" s="13"/>
      <c r="O11" s="13"/>
    </row>
    <row r="12" spans="1:15" x14ac:dyDescent="0.35">
      <c r="A12" s="11" t="s">
        <v>467</v>
      </c>
      <c r="B12" s="13" t="s">
        <v>416</v>
      </c>
      <c r="C12" s="13" t="s">
        <v>417</v>
      </c>
      <c r="D12" s="13" t="s">
        <v>418</v>
      </c>
      <c r="E12" s="13" t="s">
        <v>419</v>
      </c>
      <c r="F12" s="13" t="s">
        <v>420</v>
      </c>
      <c r="G12" s="13" t="s">
        <v>421</v>
      </c>
      <c r="H12" s="13" t="s">
        <v>422</v>
      </c>
      <c r="I12" s="13" t="s">
        <v>423</v>
      </c>
      <c r="J12" s="13" t="s">
        <v>424</v>
      </c>
      <c r="K12" s="13" t="s">
        <v>425</v>
      </c>
      <c r="L12" s="13"/>
      <c r="M12" s="13"/>
      <c r="N12" s="13"/>
      <c r="O12" s="13"/>
    </row>
    <row r="13" spans="1:15" x14ac:dyDescent="0.35">
      <c r="A13" s="8" t="s">
        <v>394</v>
      </c>
      <c r="B13" s="12">
        <v>85</v>
      </c>
      <c r="C13" s="12">
        <v>78</v>
      </c>
      <c r="D13" s="12">
        <v>97</v>
      </c>
      <c r="E13" s="12">
        <v>103</v>
      </c>
      <c r="F13" s="12">
        <v>111</v>
      </c>
      <c r="G13" s="12">
        <v>118</v>
      </c>
      <c r="H13" s="12">
        <v>116</v>
      </c>
      <c r="I13" s="12">
        <v>144</v>
      </c>
      <c r="J13" s="12">
        <v>153</v>
      </c>
      <c r="K13" s="12">
        <v>224</v>
      </c>
      <c r="L13" s="12"/>
      <c r="M13" s="12"/>
      <c r="N13" s="12"/>
      <c r="O13" s="12"/>
    </row>
    <row r="14" spans="1:15" x14ac:dyDescent="0.35">
      <c r="A14" s="11"/>
      <c r="B14" s="13"/>
      <c r="C14" s="13"/>
      <c r="D14" s="13"/>
      <c r="E14" s="13"/>
      <c r="F14" s="13"/>
      <c r="G14" s="13"/>
      <c r="H14" s="13"/>
      <c r="I14" s="13"/>
      <c r="J14" s="13"/>
      <c r="K14" s="13"/>
      <c r="L14" s="13"/>
      <c r="M14" s="13"/>
      <c r="N14" s="13"/>
      <c r="O14" s="13"/>
    </row>
    <row r="15" spans="1:15" x14ac:dyDescent="0.35">
      <c r="A15" s="11"/>
      <c r="B15" s="13"/>
      <c r="C15" s="13"/>
      <c r="D15" s="13"/>
      <c r="E15" s="13"/>
      <c r="F15" s="13"/>
      <c r="G15" s="13"/>
      <c r="H15" s="13"/>
      <c r="I15" s="13"/>
      <c r="J15" s="13"/>
      <c r="K15" s="13"/>
      <c r="L15" s="13"/>
      <c r="M15" s="13"/>
      <c r="N15" s="13"/>
      <c r="O15" s="13"/>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116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115</v>
      </c>
      <c r="B5" s="9"/>
      <c r="C5" s="9"/>
      <c r="D5" s="9"/>
      <c r="E5" s="9"/>
      <c r="F5" s="9"/>
      <c r="G5" s="9"/>
      <c r="H5" s="9"/>
      <c r="I5" s="9"/>
      <c r="J5" s="9"/>
      <c r="K5" s="9"/>
      <c r="L5" s="9"/>
      <c r="M5" s="9"/>
      <c r="N5" s="9"/>
      <c r="O5" s="9"/>
    </row>
    <row r="6" spans="1:15" x14ac:dyDescent="0.35">
      <c r="A6" s="11" t="s">
        <v>468</v>
      </c>
      <c r="B6" s="9" t="s">
        <v>387</v>
      </c>
      <c r="C6" s="9" t="s">
        <v>388</v>
      </c>
      <c r="D6" s="9" t="s">
        <v>389</v>
      </c>
      <c r="E6" s="9" t="s">
        <v>390</v>
      </c>
      <c r="F6" s="9" t="s">
        <v>391</v>
      </c>
      <c r="G6" s="9" t="s">
        <v>392</v>
      </c>
      <c r="H6" s="9" t="s">
        <v>393</v>
      </c>
      <c r="I6" s="9" t="s">
        <v>394</v>
      </c>
      <c r="J6" s="9"/>
      <c r="K6" s="9"/>
      <c r="L6" s="9"/>
      <c r="M6" s="9"/>
      <c r="N6" s="9"/>
      <c r="O6" s="9"/>
    </row>
    <row r="7" spans="1:15" x14ac:dyDescent="0.35">
      <c r="A7" s="8" t="s">
        <v>416</v>
      </c>
      <c r="B7" s="12">
        <v>-9200</v>
      </c>
      <c r="C7" s="12">
        <v>-10200</v>
      </c>
      <c r="D7" s="12">
        <v>-12300</v>
      </c>
      <c r="E7" s="12">
        <v>-8200</v>
      </c>
      <c r="F7" s="12">
        <v>-9800</v>
      </c>
      <c r="G7" s="12">
        <v>-11900</v>
      </c>
      <c r="H7" s="12">
        <v>-11200</v>
      </c>
      <c r="I7" s="12">
        <v>-6400</v>
      </c>
      <c r="J7" s="12"/>
      <c r="K7" s="12"/>
      <c r="L7" s="12"/>
      <c r="M7" s="12"/>
      <c r="N7" s="12"/>
      <c r="O7" s="12"/>
    </row>
    <row r="8" spans="1:15" x14ac:dyDescent="0.35">
      <c r="A8" s="11" t="s">
        <v>417</v>
      </c>
      <c r="B8" s="13">
        <v>-900</v>
      </c>
      <c r="C8" s="13">
        <v>-1300</v>
      </c>
      <c r="D8" s="13">
        <v>-1800</v>
      </c>
      <c r="E8" s="13">
        <v>-700</v>
      </c>
      <c r="F8" s="13">
        <v>-700</v>
      </c>
      <c r="G8" s="13">
        <v>-2400</v>
      </c>
      <c r="H8" s="13">
        <v>-1500</v>
      </c>
      <c r="I8" s="13">
        <v>-900</v>
      </c>
      <c r="J8" s="13"/>
      <c r="K8" s="13"/>
      <c r="L8" s="13"/>
      <c r="M8" s="13"/>
      <c r="N8" s="13"/>
      <c r="O8" s="13"/>
    </row>
    <row r="9" spans="1:15" x14ac:dyDescent="0.35">
      <c r="A9" s="11" t="s">
        <v>418</v>
      </c>
      <c r="B9" s="13">
        <v>100</v>
      </c>
      <c r="C9" s="13">
        <v>100</v>
      </c>
      <c r="D9" s="13">
        <v>100</v>
      </c>
      <c r="E9" s="13">
        <v>200</v>
      </c>
      <c r="F9" s="13">
        <v>200</v>
      </c>
      <c r="G9" s="13">
        <v>0</v>
      </c>
      <c r="H9" s="13">
        <v>100</v>
      </c>
      <c r="I9" s="13">
        <v>400</v>
      </c>
      <c r="J9" s="13"/>
      <c r="K9" s="13"/>
      <c r="L9" s="13"/>
      <c r="M9" s="13"/>
      <c r="N9" s="13"/>
      <c r="O9" s="13"/>
    </row>
    <row r="10" spans="1:15" x14ac:dyDescent="0.35">
      <c r="A10" s="11" t="s">
        <v>419</v>
      </c>
      <c r="B10" s="13">
        <v>900</v>
      </c>
      <c r="C10" s="13">
        <v>1200</v>
      </c>
      <c r="D10" s="13">
        <v>700</v>
      </c>
      <c r="E10" s="13">
        <v>900</v>
      </c>
      <c r="F10" s="13">
        <v>1100</v>
      </c>
      <c r="G10" s="13">
        <v>1100</v>
      </c>
      <c r="H10" s="13">
        <v>1300</v>
      </c>
      <c r="I10" s="13">
        <v>2500</v>
      </c>
      <c r="J10" s="13"/>
      <c r="K10" s="13"/>
      <c r="L10" s="13"/>
      <c r="M10" s="13"/>
      <c r="N10" s="13"/>
      <c r="O10" s="13"/>
    </row>
    <row r="11" spans="1:15" x14ac:dyDescent="0.35">
      <c r="A11" s="11" t="s">
        <v>420</v>
      </c>
      <c r="B11" s="13">
        <v>3600</v>
      </c>
      <c r="C11" s="13">
        <v>4200</v>
      </c>
      <c r="D11" s="13">
        <v>2400</v>
      </c>
      <c r="E11" s="13">
        <v>2400</v>
      </c>
      <c r="F11" s="13">
        <v>3000</v>
      </c>
      <c r="G11" s="13">
        <v>3500</v>
      </c>
      <c r="H11" s="13">
        <v>4900</v>
      </c>
      <c r="I11" s="13">
        <v>7500</v>
      </c>
      <c r="J11" s="13"/>
      <c r="K11" s="13"/>
      <c r="L11" s="13"/>
      <c r="M11" s="13"/>
      <c r="N11" s="13"/>
      <c r="O11" s="13"/>
    </row>
    <row r="12" spans="1:15" x14ac:dyDescent="0.35">
      <c r="A12" s="11" t="s">
        <v>421</v>
      </c>
      <c r="B12" s="13">
        <v>9200</v>
      </c>
      <c r="C12" s="13">
        <v>10500</v>
      </c>
      <c r="D12" s="13">
        <v>7100</v>
      </c>
      <c r="E12" s="13">
        <v>6200</v>
      </c>
      <c r="F12" s="13">
        <v>7800</v>
      </c>
      <c r="G12" s="13">
        <v>8600</v>
      </c>
      <c r="H12" s="13">
        <v>10400</v>
      </c>
      <c r="I12" s="13">
        <v>16500</v>
      </c>
      <c r="J12" s="13"/>
      <c r="K12" s="13"/>
      <c r="L12" s="13"/>
      <c r="M12" s="13"/>
      <c r="N12" s="13"/>
      <c r="O12" s="13"/>
    </row>
    <row r="13" spans="1:15" x14ac:dyDescent="0.35">
      <c r="A13" s="11" t="s">
        <v>422</v>
      </c>
      <c r="B13" s="13">
        <v>20100</v>
      </c>
      <c r="C13" s="13">
        <v>22100</v>
      </c>
      <c r="D13" s="13">
        <v>15000</v>
      </c>
      <c r="E13" s="13">
        <v>15300</v>
      </c>
      <c r="F13" s="13">
        <v>16600</v>
      </c>
      <c r="G13" s="13">
        <v>20000</v>
      </c>
      <c r="H13" s="13">
        <v>21600</v>
      </c>
      <c r="I13" s="13">
        <v>26200</v>
      </c>
      <c r="J13" s="13"/>
      <c r="K13" s="13"/>
      <c r="L13" s="13"/>
      <c r="M13" s="13"/>
      <c r="N13" s="13"/>
      <c r="O13" s="13"/>
    </row>
    <row r="14" spans="1:15" x14ac:dyDescent="0.35">
      <c r="A14" s="11" t="s">
        <v>423</v>
      </c>
      <c r="B14" s="13">
        <v>41200</v>
      </c>
      <c r="C14" s="13">
        <v>42400</v>
      </c>
      <c r="D14" s="13">
        <v>30200</v>
      </c>
      <c r="E14" s="13">
        <v>33000</v>
      </c>
      <c r="F14" s="13">
        <v>34600</v>
      </c>
      <c r="G14" s="13">
        <v>41600</v>
      </c>
      <c r="H14" s="13">
        <v>44900</v>
      </c>
      <c r="I14" s="13">
        <v>51000</v>
      </c>
      <c r="J14" s="13"/>
      <c r="K14" s="13"/>
      <c r="L14" s="13"/>
      <c r="M14" s="13"/>
      <c r="N14" s="13"/>
      <c r="O14" s="13"/>
    </row>
    <row r="15" spans="1:15" x14ac:dyDescent="0.35">
      <c r="A15" s="11" t="s">
        <v>424</v>
      </c>
      <c r="B15" s="13">
        <v>75900</v>
      </c>
      <c r="C15" s="13">
        <v>81600</v>
      </c>
      <c r="D15" s="13">
        <v>66000</v>
      </c>
      <c r="E15" s="13">
        <v>76800</v>
      </c>
      <c r="F15" s="13">
        <v>77700</v>
      </c>
      <c r="G15" s="13">
        <v>87600</v>
      </c>
      <c r="H15" s="13">
        <v>99600</v>
      </c>
      <c r="I15" s="13">
        <v>108000</v>
      </c>
      <c r="J15" s="13"/>
      <c r="K15" s="13"/>
      <c r="L15" s="13"/>
      <c r="M15" s="13"/>
      <c r="N15" s="13"/>
      <c r="O15" s="13"/>
    </row>
    <row r="16" spans="1:15" x14ac:dyDescent="0.35">
      <c r="A16" s="11" t="s">
        <v>425</v>
      </c>
      <c r="B16" s="13">
        <v>199200</v>
      </c>
      <c r="C16" s="13">
        <v>216700</v>
      </c>
      <c r="D16" s="13">
        <v>186200</v>
      </c>
      <c r="E16" s="13">
        <v>226100</v>
      </c>
      <c r="F16" s="13">
        <v>218800</v>
      </c>
      <c r="G16" s="13">
        <v>232200</v>
      </c>
      <c r="H16" s="13">
        <v>251900</v>
      </c>
      <c r="I16" s="13">
        <v>250000</v>
      </c>
      <c r="J16" s="13"/>
      <c r="K16" s="13"/>
      <c r="L16" s="13"/>
      <c r="M16" s="13"/>
      <c r="N16" s="13"/>
      <c r="O16" s="13"/>
    </row>
    <row r="17" spans="1:15" x14ac:dyDescent="0.35">
      <c r="A17" s="11" t="s">
        <v>395</v>
      </c>
      <c r="B17" s="13">
        <v>5800</v>
      </c>
      <c r="C17" s="13">
        <v>7100</v>
      </c>
      <c r="D17" s="13">
        <v>4000</v>
      </c>
      <c r="E17" s="13">
        <v>3900</v>
      </c>
      <c r="F17" s="13">
        <v>4900</v>
      </c>
      <c r="G17" s="13">
        <v>5900</v>
      </c>
      <c r="H17" s="13">
        <v>6900</v>
      </c>
      <c r="I17" s="13">
        <v>12000</v>
      </c>
      <c r="J17" s="13"/>
      <c r="K17" s="13"/>
      <c r="L17" s="13"/>
      <c r="M17" s="13"/>
      <c r="N17" s="13"/>
      <c r="O17" s="13"/>
    </row>
    <row r="18" spans="1:15" ht="30" customHeight="1" x14ac:dyDescent="0.4">
      <c r="A18" s="5" t="s">
        <v>113</v>
      </c>
      <c r="B18" s="13"/>
      <c r="C18" s="13"/>
      <c r="D18" s="13"/>
      <c r="E18" s="13"/>
      <c r="F18" s="13"/>
      <c r="G18" s="13"/>
      <c r="H18" s="13"/>
      <c r="I18" s="13"/>
      <c r="J18" s="13"/>
      <c r="K18" s="13"/>
      <c r="L18" s="13"/>
      <c r="M18" s="13"/>
      <c r="N18" s="13"/>
      <c r="O18" s="13"/>
    </row>
    <row r="19" spans="1:15" x14ac:dyDescent="0.35">
      <c r="A19" s="11" t="s">
        <v>468</v>
      </c>
      <c r="B19" s="13" t="s">
        <v>387</v>
      </c>
      <c r="C19" s="13" t="s">
        <v>388</v>
      </c>
      <c r="D19" s="13" t="s">
        <v>389</v>
      </c>
      <c r="E19" s="13" t="s">
        <v>390</v>
      </c>
      <c r="F19" s="13" t="s">
        <v>391</v>
      </c>
      <c r="G19" s="13" t="s">
        <v>392</v>
      </c>
      <c r="H19" s="13" t="s">
        <v>393</v>
      </c>
      <c r="I19" s="13" t="s">
        <v>394</v>
      </c>
      <c r="J19" s="13"/>
      <c r="K19" s="13"/>
      <c r="L19" s="13"/>
      <c r="M19" s="13"/>
      <c r="N19" s="13"/>
      <c r="O19" s="13"/>
    </row>
    <row r="20" spans="1:15" x14ac:dyDescent="0.35">
      <c r="A20" s="8" t="s">
        <v>416</v>
      </c>
      <c r="B20" s="12">
        <v>39</v>
      </c>
      <c r="C20" s="12">
        <v>38</v>
      </c>
      <c r="D20" s="12">
        <v>39</v>
      </c>
      <c r="E20" s="12">
        <v>43</v>
      </c>
      <c r="F20" s="12">
        <v>43</v>
      </c>
      <c r="G20" s="12">
        <v>42</v>
      </c>
      <c r="H20" s="12">
        <v>41</v>
      </c>
      <c r="I20" s="12">
        <v>42</v>
      </c>
      <c r="J20" s="12"/>
      <c r="K20" s="12"/>
      <c r="L20" s="12"/>
      <c r="M20" s="12"/>
      <c r="N20" s="12"/>
      <c r="O20" s="12"/>
    </row>
    <row r="21" spans="1:15" x14ac:dyDescent="0.35">
      <c r="A21" s="11" t="s">
        <v>417</v>
      </c>
      <c r="B21" s="13">
        <v>40</v>
      </c>
      <c r="C21" s="13">
        <v>41</v>
      </c>
      <c r="D21" s="13">
        <v>44</v>
      </c>
      <c r="E21" s="13">
        <v>48</v>
      </c>
      <c r="F21" s="13">
        <v>48</v>
      </c>
      <c r="G21" s="13">
        <v>45</v>
      </c>
      <c r="H21" s="13">
        <v>47</v>
      </c>
      <c r="I21" s="13">
        <v>50</v>
      </c>
      <c r="J21" s="13"/>
      <c r="K21" s="13"/>
      <c r="L21" s="13"/>
      <c r="M21" s="13"/>
      <c r="N21" s="13"/>
      <c r="O21" s="13"/>
    </row>
    <row r="22" spans="1:15" x14ac:dyDescent="0.35">
      <c r="A22" s="11" t="s">
        <v>418</v>
      </c>
      <c r="B22" s="13">
        <v>54</v>
      </c>
      <c r="C22" s="13">
        <v>57</v>
      </c>
      <c r="D22" s="13">
        <v>52</v>
      </c>
      <c r="E22" s="13">
        <v>59</v>
      </c>
      <c r="F22" s="13">
        <v>57</v>
      </c>
      <c r="G22" s="13">
        <v>53</v>
      </c>
      <c r="H22" s="13">
        <v>53</v>
      </c>
      <c r="I22" s="13">
        <v>60</v>
      </c>
      <c r="J22" s="13"/>
      <c r="K22" s="13"/>
      <c r="L22" s="13"/>
      <c r="M22" s="13"/>
      <c r="N22" s="13"/>
      <c r="O22" s="13"/>
    </row>
    <row r="23" spans="1:15" x14ac:dyDescent="0.35">
      <c r="A23" s="11" t="s">
        <v>419</v>
      </c>
      <c r="B23" s="13">
        <v>49</v>
      </c>
      <c r="C23" s="13">
        <v>47</v>
      </c>
      <c r="D23" s="13">
        <v>57</v>
      </c>
      <c r="E23" s="13">
        <v>49</v>
      </c>
      <c r="F23" s="13">
        <v>55</v>
      </c>
      <c r="G23" s="13">
        <v>55</v>
      </c>
      <c r="H23" s="13">
        <v>54</v>
      </c>
      <c r="I23" s="13">
        <v>52</v>
      </c>
      <c r="J23" s="13"/>
      <c r="K23" s="13"/>
      <c r="L23" s="13"/>
      <c r="M23" s="13"/>
      <c r="N23" s="13"/>
      <c r="O23" s="13"/>
    </row>
    <row r="24" spans="1:15" x14ac:dyDescent="0.35">
      <c r="A24" s="11" t="s">
        <v>420</v>
      </c>
      <c r="B24" s="13">
        <v>50</v>
      </c>
      <c r="C24" s="13">
        <v>49</v>
      </c>
      <c r="D24" s="13">
        <v>55</v>
      </c>
      <c r="E24" s="13">
        <v>56</v>
      </c>
      <c r="F24" s="13">
        <v>52</v>
      </c>
      <c r="G24" s="13">
        <v>51</v>
      </c>
      <c r="H24" s="13">
        <v>58</v>
      </c>
      <c r="I24" s="13">
        <v>59</v>
      </c>
      <c r="J24" s="13"/>
      <c r="K24" s="13"/>
      <c r="L24" s="13"/>
      <c r="M24" s="13"/>
      <c r="N24" s="13"/>
      <c r="O24" s="13"/>
    </row>
    <row r="25" spans="1:15" x14ac:dyDescent="0.35">
      <c r="A25" s="11" t="s">
        <v>421</v>
      </c>
      <c r="B25" s="13">
        <v>56</v>
      </c>
      <c r="C25" s="13">
        <v>57</v>
      </c>
      <c r="D25" s="13">
        <v>55</v>
      </c>
      <c r="E25" s="13">
        <v>58</v>
      </c>
      <c r="F25" s="13">
        <v>56</v>
      </c>
      <c r="G25" s="13">
        <v>54</v>
      </c>
      <c r="H25" s="13">
        <v>53</v>
      </c>
      <c r="I25" s="13">
        <v>55</v>
      </c>
      <c r="J25" s="13"/>
      <c r="K25" s="13"/>
      <c r="L25" s="13"/>
      <c r="M25" s="13"/>
      <c r="N25" s="13"/>
      <c r="O25" s="13"/>
    </row>
    <row r="26" spans="1:15" x14ac:dyDescent="0.35">
      <c r="A26" s="11" t="s">
        <v>422</v>
      </c>
      <c r="B26" s="13">
        <v>54</v>
      </c>
      <c r="C26" s="13">
        <v>55</v>
      </c>
      <c r="D26" s="13">
        <v>59</v>
      </c>
      <c r="E26" s="13">
        <v>58</v>
      </c>
      <c r="F26" s="13">
        <v>53</v>
      </c>
      <c r="G26" s="13">
        <v>53</v>
      </c>
      <c r="H26" s="13">
        <v>57</v>
      </c>
      <c r="I26" s="13">
        <v>56</v>
      </c>
      <c r="J26" s="13"/>
      <c r="K26" s="13"/>
      <c r="L26" s="13"/>
      <c r="M26" s="13"/>
      <c r="N26" s="13"/>
      <c r="O26" s="13"/>
    </row>
    <row r="27" spans="1:15" x14ac:dyDescent="0.35">
      <c r="A27" s="11" t="s">
        <v>423</v>
      </c>
      <c r="B27" s="13">
        <v>53</v>
      </c>
      <c r="C27" s="13">
        <v>53</v>
      </c>
      <c r="D27" s="13">
        <v>53</v>
      </c>
      <c r="E27" s="13">
        <v>61</v>
      </c>
      <c r="F27" s="13">
        <v>62</v>
      </c>
      <c r="G27" s="13">
        <v>59</v>
      </c>
      <c r="H27" s="13">
        <v>57</v>
      </c>
      <c r="I27" s="13">
        <v>62</v>
      </c>
      <c r="J27" s="13"/>
      <c r="K27" s="13"/>
      <c r="L27" s="13"/>
      <c r="M27" s="13"/>
      <c r="N27" s="13"/>
      <c r="O27" s="13"/>
    </row>
    <row r="28" spans="1:15" x14ac:dyDescent="0.35">
      <c r="A28" s="11" t="s">
        <v>424</v>
      </c>
      <c r="B28" s="13">
        <v>55</v>
      </c>
      <c r="C28" s="13">
        <v>56</v>
      </c>
      <c r="D28" s="13">
        <v>58</v>
      </c>
      <c r="E28" s="13">
        <v>61</v>
      </c>
      <c r="F28" s="13">
        <v>60</v>
      </c>
      <c r="G28" s="13">
        <v>60</v>
      </c>
      <c r="H28" s="13">
        <v>62</v>
      </c>
      <c r="I28" s="13">
        <v>60</v>
      </c>
      <c r="J28" s="13"/>
      <c r="K28" s="13"/>
      <c r="L28" s="13"/>
      <c r="M28" s="13"/>
      <c r="N28" s="13"/>
      <c r="O28" s="13"/>
    </row>
    <row r="29" spans="1:15" x14ac:dyDescent="0.35">
      <c r="A29" s="11" t="s">
        <v>425</v>
      </c>
      <c r="B29" s="13">
        <v>58</v>
      </c>
      <c r="C29" s="13">
        <v>58</v>
      </c>
      <c r="D29" s="13">
        <v>60</v>
      </c>
      <c r="E29" s="13">
        <v>62</v>
      </c>
      <c r="F29" s="13">
        <v>62</v>
      </c>
      <c r="G29" s="13">
        <v>64</v>
      </c>
      <c r="H29" s="13">
        <v>62</v>
      </c>
      <c r="I29" s="13">
        <v>64</v>
      </c>
      <c r="J29" s="13"/>
      <c r="K29" s="13"/>
      <c r="L29" s="13"/>
      <c r="M29" s="13"/>
      <c r="N29" s="13"/>
      <c r="O29" s="13"/>
    </row>
    <row r="30" spans="1:15" x14ac:dyDescent="0.35">
      <c r="A30" s="11" t="s">
        <v>395</v>
      </c>
      <c r="B30" s="13">
        <v>51</v>
      </c>
      <c r="C30" s="13">
        <v>51</v>
      </c>
      <c r="D30" s="13">
        <v>53</v>
      </c>
      <c r="E30" s="13">
        <v>55</v>
      </c>
      <c r="F30" s="13">
        <v>54</v>
      </c>
      <c r="G30" s="13">
        <v>53</v>
      </c>
      <c r="H30" s="13">
        <v>54</v>
      </c>
      <c r="I30" s="13">
        <v>55</v>
      </c>
      <c r="J30" s="13"/>
      <c r="K30" s="13"/>
      <c r="L30" s="13"/>
      <c r="M30" s="13"/>
      <c r="N30" s="13"/>
      <c r="O30" s="13"/>
    </row>
    <row r="31" spans="1:15" ht="30" customHeight="1" x14ac:dyDescent="0.4">
      <c r="A31" s="5" t="s">
        <v>114</v>
      </c>
      <c r="B31" s="13"/>
      <c r="C31" s="13"/>
      <c r="D31" s="13"/>
      <c r="E31" s="13"/>
      <c r="F31" s="13"/>
      <c r="G31" s="13"/>
      <c r="H31" s="13"/>
      <c r="I31" s="13"/>
      <c r="J31" s="13"/>
      <c r="K31" s="13"/>
      <c r="L31" s="13"/>
      <c r="M31" s="13"/>
      <c r="N31" s="13"/>
      <c r="O31" s="13"/>
    </row>
    <row r="32" spans="1:15" x14ac:dyDescent="0.35">
      <c r="A32" s="11" t="s">
        <v>468</v>
      </c>
      <c r="B32" s="13" t="s">
        <v>387</v>
      </c>
      <c r="C32" s="13" t="s">
        <v>388</v>
      </c>
      <c r="D32" s="13" t="s">
        <v>389</v>
      </c>
      <c r="E32" s="13" t="s">
        <v>390</v>
      </c>
      <c r="F32" s="13" t="s">
        <v>391</v>
      </c>
      <c r="G32" s="13" t="s">
        <v>392</v>
      </c>
      <c r="H32" s="13" t="s">
        <v>393</v>
      </c>
      <c r="I32" s="13" t="s">
        <v>394</v>
      </c>
      <c r="J32" s="13"/>
      <c r="K32" s="13"/>
      <c r="L32" s="13"/>
      <c r="M32" s="13"/>
      <c r="N32" s="13"/>
      <c r="O32" s="13"/>
    </row>
    <row r="33" spans="1:15" x14ac:dyDescent="0.35">
      <c r="A33" s="8" t="s">
        <v>416</v>
      </c>
      <c r="B33" s="12">
        <v>260</v>
      </c>
      <c r="C33" s="12">
        <v>173</v>
      </c>
      <c r="D33" s="12">
        <v>164</v>
      </c>
      <c r="E33" s="12">
        <v>159</v>
      </c>
      <c r="F33" s="12">
        <v>142</v>
      </c>
      <c r="G33" s="12">
        <v>131</v>
      </c>
      <c r="H33" s="12">
        <v>97</v>
      </c>
      <c r="I33" s="12">
        <v>85</v>
      </c>
      <c r="J33" s="12"/>
      <c r="K33" s="12"/>
      <c r="L33" s="12"/>
      <c r="M33" s="12"/>
      <c r="N33" s="12"/>
      <c r="O33" s="12"/>
    </row>
    <row r="34" spans="1:15" x14ac:dyDescent="0.35">
      <c r="A34" s="11" t="s">
        <v>417</v>
      </c>
      <c r="B34" s="13">
        <v>264</v>
      </c>
      <c r="C34" s="13">
        <v>171</v>
      </c>
      <c r="D34" s="13">
        <v>191</v>
      </c>
      <c r="E34" s="13">
        <v>184</v>
      </c>
      <c r="F34" s="13">
        <v>158</v>
      </c>
      <c r="G34" s="13">
        <v>121</v>
      </c>
      <c r="H34" s="13">
        <v>116</v>
      </c>
      <c r="I34" s="13">
        <v>78</v>
      </c>
      <c r="J34" s="13"/>
      <c r="K34" s="13"/>
      <c r="L34" s="13"/>
      <c r="M34" s="13"/>
      <c r="N34" s="13"/>
      <c r="O34" s="13"/>
    </row>
    <row r="35" spans="1:15" x14ac:dyDescent="0.35">
      <c r="A35" s="11" t="s">
        <v>418</v>
      </c>
      <c r="B35" s="13">
        <v>297</v>
      </c>
      <c r="C35" s="13">
        <v>178</v>
      </c>
      <c r="D35" s="13">
        <v>181</v>
      </c>
      <c r="E35" s="13">
        <v>137</v>
      </c>
      <c r="F35" s="13">
        <v>142</v>
      </c>
      <c r="G35" s="13">
        <v>134</v>
      </c>
      <c r="H35" s="13">
        <v>115</v>
      </c>
      <c r="I35" s="13">
        <v>97</v>
      </c>
      <c r="J35" s="13"/>
      <c r="K35" s="13"/>
      <c r="L35" s="13"/>
      <c r="M35" s="13"/>
      <c r="N35" s="13"/>
      <c r="O35" s="13"/>
    </row>
    <row r="36" spans="1:15" x14ac:dyDescent="0.35">
      <c r="A36" s="11" t="s">
        <v>419</v>
      </c>
      <c r="B36" s="13">
        <v>249</v>
      </c>
      <c r="C36" s="13">
        <v>169</v>
      </c>
      <c r="D36" s="13">
        <v>191</v>
      </c>
      <c r="E36" s="13">
        <v>176</v>
      </c>
      <c r="F36" s="13">
        <v>141</v>
      </c>
      <c r="G36" s="13">
        <v>137</v>
      </c>
      <c r="H36" s="13">
        <v>121</v>
      </c>
      <c r="I36" s="13">
        <v>103</v>
      </c>
      <c r="J36" s="13"/>
      <c r="K36" s="13"/>
      <c r="L36" s="13"/>
      <c r="M36" s="13"/>
      <c r="N36" s="13"/>
      <c r="O36" s="13"/>
    </row>
    <row r="37" spans="1:15" x14ac:dyDescent="0.35">
      <c r="A37" s="11" t="s">
        <v>420</v>
      </c>
      <c r="B37" s="13">
        <v>266</v>
      </c>
      <c r="C37" s="13">
        <v>185</v>
      </c>
      <c r="D37" s="13">
        <v>197</v>
      </c>
      <c r="E37" s="13">
        <v>164</v>
      </c>
      <c r="F37" s="13">
        <v>135</v>
      </c>
      <c r="G37" s="13">
        <v>143</v>
      </c>
      <c r="H37" s="13">
        <v>134</v>
      </c>
      <c r="I37" s="13">
        <v>111</v>
      </c>
      <c r="J37" s="13"/>
      <c r="K37" s="13"/>
      <c r="L37" s="13"/>
      <c r="M37" s="13"/>
      <c r="N37" s="13"/>
      <c r="O37" s="13"/>
    </row>
    <row r="38" spans="1:15" x14ac:dyDescent="0.35">
      <c r="A38" s="11" t="s">
        <v>421</v>
      </c>
      <c r="B38" s="13">
        <v>274</v>
      </c>
      <c r="C38" s="13">
        <v>193</v>
      </c>
      <c r="D38" s="13">
        <v>193</v>
      </c>
      <c r="E38" s="13">
        <v>175</v>
      </c>
      <c r="F38" s="13">
        <v>163</v>
      </c>
      <c r="G38" s="13">
        <v>143</v>
      </c>
      <c r="H38" s="13">
        <v>144</v>
      </c>
      <c r="I38" s="13">
        <v>118</v>
      </c>
      <c r="J38" s="13"/>
      <c r="K38" s="13"/>
      <c r="L38" s="13"/>
      <c r="M38" s="13"/>
      <c r="N38" s="13"/>
      <c r="O38" s="13"/>
    </row>
    <row r="39" spans="1:15" x14ac:dyDescent="0.35">
      <c r="A39" s="11" t="s">
        <v>422</v>
      </c>
      <c r="B39" s="13">
        <v>279</v>
      </c>
      <c r="C39" s="13">
        <v>198</v>
      </c>
      <c r="D39" s="13">
        <v>209</v>
      </c>
      <c r="E39" s="13">
        <v>192</v>
      </c>
      <c r="F39" s="13">
        <v>167</v>
      </c>
      <c r="G39" s="13">
        <v>157</v>
      </c>
      <c r="H39" s="13">
        <v>163</v>
      </c>
      <c r="I39" s="13">
        <v>116</v>
      </c>
      <c r="J39" s="13"/>
      <c r="K39" s="13"/>
      <c r="L39" s="13"/>
      <c r="M39" s="13"/>
      <c r="N39" s="13"/>
      <c r="O39" s="13"/>
    </row>
    <row r="40" spans="1:15" x14ac:dyDescent="0.35">
      <c r="A40" s="11" t="s">
        <v>423</v>
      </c>
      <c r="B40" s="13">
        <v>281</v>
      </c>
      <c r="C40" s="13">
        <v>211</v>
      </c>
      <c r="D40" s="13">
        <v>219</v>
      </c>
      <c r="E40" s="13">
        <v>207</v>
      </c>
      <c r="F40" s="13">
        <v>179</v>
      </c>
      <c r="G40" s="13">
        <v>189</v>
      </c>
      <c r="H40" s="13">
        <v>168</v>
      </c>
      <c r="I40" s="13">
        <v>144</v>
      </c>
      <c r="J40" s="13"/>
      <c r="K40" s="13"/>
      <c r="L40" s="13"/>
      <c r="M40" s="13"/>
      <c r="N40" s="13"/>
      <c r="O40" s="13"/>
    </row>
    <row r="41" spans="1:15" x14ac:dyDescent="0.35">
      <c r="A41" s="11" t="s">
        <v>424</v>
      </c>
      <c r="B41" s="13">
        <v>295</v>
      </c>
      <c r="C41" s="13">
        <v>229</v>
      </c>
      <c r="D41" s="13">
        <v>235</v>
      </c>
      <c r="E41" s="13">
        <v>232</v>
      </c>
      <c r="F41" s="13">
        <v>213</v>
      </c>
      <c r="G41" s="13">
        <v>179</v>
      </c>
      <c r="H41" s="13">
        <v>209</v>
      </c>
      <c r="I41" s="13">
        <v>153</v>
      </c>
      <c r="J41" s="13"/>
      <c r="K41" s="13"/>
      <c r="L41" s="13"/>
      <c r="M41" s="13"/>
      <c r="N41" s="13"/>
      <c r="O41" s="13"/>
    </row>
    <row r="42" spans="1:15" x14ac:dyDescent="0.35">
      <c r="A42" s="11" t="s">
        <v>425</v>
      </c>
      <c r="B42" s="13">
        <v>368</v>
      </c>
      <c r="C42" s="13">
        <v>288</v>
      </c>
      <c r="D42" s="13">
        <v>289</v>
      </c>
      <c r="E42" s="13">
        <v>264</v>
      </c>
      <c r="F42" s="13">
        <v>256</v>
      </c>
      <c r="G42" s="13">
        <v>273</v>
      </c>
      <c r="H42" s="13">
        <v>247</v>
      </c>
      <c r="I42" s="13">
        <v>224</v>
      </c>
      <c r="J42" s="13"/>
      <c r="K42" s="13"/>
      <c r="L42" s="13"/>
      <c r="M42" s="13"/>
      <c r="N42" s="13"/>
      <c r="O42" s="13"/>
    </row>
    <row r="43" spans="1:15" x14ac:dyDescent="0.35">
      <c r="A43" s="11" t="s">
        <v>395</v>
      </c>
      <c r="B43" s="13">
        <v>2833</v>
      </c>
      <c r="C43" s="13">
        <v>1995</v>
      </c>
      <c r="D43" s="13">
        <v>2069</v>
      </c>
      <c r="E43" s="13">
        <v>1890</v>
      </c>
      <c r="F43" s="13">
        <v>1696</v>
      </c>
      <c r="G43" s="13">
        <v>1607</v>
      </c>
      <c r="H43" s="13">
        <v>1514</v>
      </c>
      <c r="I43" s="13">
        <v>1229</v>
      </c>
      <c r="J43" s="13"/>
      <c r="K43" s="13"/>
      <c r="L43" s="13"/>
      <c r="M43" s="13"/>
      <c r="N43" s="13"/>
      <c r="O43" s="13"/>
    </row>
    <row r="44" spans="1:15" x14ac:dyDescent="0.35">
      <c r="A44" s="11"/>
      <c r="B44" s="13"/>
      <c r="C44" s="13"/>
      <c r="D44" s="13"/>
      <c r="E44" s="13"/>
      <c r="F44" s="13"/>
      <c r="G44" s="13"/>
      <c r="H44" s="13"/>
      <c r="I44" s="13"/>
      <c r="J44" s="13"/>
      <c r="K44" s="13"/>
      <c r="L44" s="13"/>
      <c r="M44" s="13"/>
      <c r="N44" s="13"/>
      <c r="O44" s="13"/>
    </row>
    <row r="45" spans="1:15" x14ac:dyDescent="0.35">
      <c r="A45" s="11"/>
      <c r="B45" s="13"/>
      <c r="C45" s="13"/>
      <c r="D45" s="13"/>
      <c r="E45" s="13"/>
      <c r="F45" s="13"/>
      <c r="G45" s="13"/>
      <c r="H45" s="13"/>
      <c r="I45" s="13"/>
      <c r="J45" s="13"/>
      <c r="K45" s="13"/>
      <c r="L45" s="13"/>
      <c r="M45" s="13"/>
      <c r="N45" s="13"/>
      <c r="O45" s="13"/>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121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536</v>
      </c>
      <c r="B3" s="9"/>
      <c r="C3" s="9"/>
      <c r="D3" s="9"/>
      <c r="E3" s="9"/>
      <c r="F3" s="9"/>
      <c r="G3" s="9"/>
      <c r="H3" s="9"/>
      <c r="I3" s="9"/>
      <c r="J3" s="9"/>
      <c r="K3" s="9"/>
      <c r="L3" s="9"/>
      <c r="M3" s="9"/>
      <c r="N3" s="9"/>
      <c r="O3" s="9"/>
    </row>
    <row r="4" spans="1:15" x14ac:dyDescent="0.35">
      <c r="A4" s="8" t="s">
        <v>537</v>
      </c>
      <c r="B4" s="9"/>
      <c r="C4" s="9"/>
      <c r="D4" s="9"/>
      <c r="E4" s="9"/>
      <c r="F4" s="9"/>
      <c r="G4" s="9"/>
      <c r="H4" s="9"/>
      <c r="I4" s="9"/>
      <c r="J4" s="9"/>
      <c r="K4" s="9"/>
      <c r="L4" s="9"/>
      <c r="M4" s="9"/>
      <c r="N4" s="9"/>
      <c r="O4" s="9"/>
    </row>
    <row r="5" spans="1:15" x14ac:dyDescent="0.35">
      <c r="A5" s="10" t="s">
        <v>384</v>
      </c>
      <c r="B5" s="9"/>
      <c r="C5" s="9"/>
      <c r="D5" s="9"/>
      <c r="E5" s="9"/>
      <c r="F5" s="9"/>
      <c r="G5" s="9"/>
      <c r="H5" s="9"/>
      <c r="I5" s="9"/>
      <c r="J5" s="9"/>
      <c r="K5" s="9"/>
      <c r="L5" s="9"/>
      <c r="M5" s="9"/>
      <c r="N5" s="9"/>
      <c r="O5" s="9"/>
    </row>
    <row r="6" spans="1:15" ht="30" customHeight="1" x14ac:dyDescent="0.4">
      <c r="A6" s="5" t="s">
        <v>120</v>
      </c>
      <c r="B6" s="9"/>
      <c r="C6" s="9"/>
      <c r="D6" s="9"/>
      <c r="E6" s="9"/>
      <c r="F6" s="9"/>
      <c r="G6" s="9"/>
      <c r="H6" s="9"/>
      <c r="I6" s="9"/>
      <c r="J6" s="9"/>
      <c r="K6" s="9"/>
      <c r="L6" s="9"/>
      <c r="M6" s="9"/>
      <c r="N6" s="9"/>
      <c r="O6" s="9"/>
    </row>
    <row r="7" spans="1:15" x14ac:dyDescent="0.35">
      <c r="A7" s="11" t="s">
        <v>538</v>
      </c>
      <c r="B7" s="9" t="s">
        <v>387</v>
      </c>
      <c r="C7" s="9" t="s">
        <v>388</v>
      </c>
      <c r="D7" s="9" t="s">
        <v>389</v>
      </c>
      <c r="E7" s="9" t="s">
        <v>390</v>
      </c>
      <c r="F7" s="9" t="s">
        <v>391</v>
      </c>
      <c r="G7" s="9" t="s">
        <v>392</v>
      </c>
      <c r="H7" s="9" t="s">
        <v>393</v>
      </c>
      <c r="I7" s="9" t="s">
        <v>394</v>
      </c>
      <c r="J7" s="9"/>
      <c r="K7" s="9"/>
      <c r="L7" s="9"/>
      <c r="M7" s="9"/>
      <c r="N7" s="9"/>
      <c r="O7" s="9"/>
    </row>
    <row r="8" spans="1:15" x14ac:dyDescent="0.35">
      <c r="A8" s="8" t="s">
        <v>539</v>
      </c>
      <c r="B8" s="15">
        <v>0.32</v>
      </c>
      <c r="C8" s="15">
        <v>0.33</v>
      </c>
      <c r="D8" s="15">
        <v>0.31</v>
      </c>
      <c r="E8" s="15">
        <v>0.32</v>
      </c>
      <c r="F8" s="15">
        <v>0.35</v>
      </c>
      <c r="G8" s="15">
        <v>0.37</v>
      </c>
      <c r="H8" s="15">
        <v>0.39</v>
      </c>
      <c r="I8" s="15">
        <v>0.44</v>
      </c>
      <c r="J8" s="15"/>
      <c r="K8" s="15"/>
      <c r="L8" s="15"/>
      <c r="M8" s="15"/>
      <c r="N8" s="15"/>
      <c r="O8" s="15"/>
    </row>
    <row r="9" spans="1:15" x14ac:dyDescent="0.35">
      <c r="A9" s="11" t="s">
        <v>540</v>
      </c>
      <c r="B9" s="16">
        <v>0.11</v>
      </c>
      <c r="C9" s="16">
        <v>0.11</v>
      </c>
      <c r="D9" s="16">
        <v>0.12</v>
      </c>
      <c r="E9" s="16">
        <v>0.11</v>
      </c>
      <c r="F9" s="16">
        <v>0.08</v>
      </c>
      <c r="G9" s="16">
        <v>0.1</v>
      </c>
      <c r="H9" s="16">
        <v>0.1</v>
      </c>
      <c r="I9" s="16">
        <v>0.11</v>
      </c>
      <c r="J9" s="16"/>
      <c r="K9" s="16"/>
      <c r="L9" s="16"/>
      <c r="M9" s="16"/>
      <c r="N9" s="16"/>
      <c r="O9" s="16"/>
    </row>
    <row r="10" spans="1:15" x14ac:dyDescent="0.35">
      <c r="A10" s="11" t="s">
        <v>541</v>
      </c>
      <c r="B10" s="16">
        <v>0.1</v>
      </c>
      <c r="C10" s="16">
        <v>0.11</v>
      </c>
      <c r="D10" s="16">
        <v>0.1</v>
      </c>
      <c r="E10" s="16">
        <v>0.09</v>
      </c>
      <c r="F10" s="16">
        <v>0.1</v>
      </c>
      <c r="G10" s="16">
        <v>0.08</v>
      </c>
      <c r="H10" s="16">
        <v>0.09</v>
      </c>
      <c r="I10" s="16">
        <v>0.12</v>
      </c>
      <c r="J10" s="16"/>
      <c r="K10" s="16"/>
      <c r="L10" s="16"/>
      <c r="M10" s="16"/>
      <c r="N10" s="16"/>
      <c r="O10" s="16"/>
    </row>
    <row r="11" spans="1:15" x14ac:dyDescent="0.35">
      <c r="A11" s="11" t="s">
        <v>542</v>
      </c>
      <c r="B11" s="16">
        <v>0.11</v>
      </c>
      <c r="C11" s="16">
        <v>0.12</v>
      </c>
      <c r="D11" s="16">
        <v>0.15</v>
      </c>
      <c r="E11" s="16">
        <v>0.13</v>
      </c>
      <c r="F11" s="16">
        <v>0.12</v>
      </c>
      <c r="G11" s="16">
        <v>0.14000000000000001</v>
      </c>
      <c r="H11" s="16">
        <v>0.13</v>
      </c>
      <c r="I11" s="16">
        <v>0.11</v>
      </c>
      <c r="J11" s="16"/>
      <c r="K11" s="16"/>
      <c r="L11" s="16"/>
      <c r="M11" s="16"/>
      <c r="N11" s="16"/>
      <c r="O11" s="16"/>
    </row>
    <row r="12" spans="1:15" x14ac:dyDescent="0.35">
      <c r="A12" s="11" t="s">
        <v>543</v>
      </c>
      <c r="B12" s="16">
        <v>0.25</v>
      </c>
      <c r="C12" s="16">
        <v>0.22</v>
      </c>
      <c r="D12" s="16">
        <v>0.21</v>
      </c>
      <c r="E12" s="16">
        <v>0.23</v>
      </c>
      <c r="F12" s="16">
        <v>0.25</v>
      </c>
      <c r="G12" s="16">
        <v>0.23</v>
      </c>
      <c r="H12" s="16">
        <v>0.21</v>
      </c>
      <c r="I12" s="16">
        <v>0.17</v>
      </c>
      <c r="J12" s="16"/>
      <c r="K12" s="16"/>
      <c r="L12" s="16"/>
      <c r="M12" s="16"/>
      <c r="N12" s="16"/>
      <c r="O12" s="16"/>
    </row>
    <row r="13" spans="1:15" x14ac:dyDescent="0.35">
      <c r="A13" s="11" t="s">
        <v>544</v>
      </c>
      <c r="B13" s="16">
        <v>0.11</v>
      </c>
      <c r="C13" s="16">
        <v>0.11</v>
      </c>
      <c r="D13" s="16">
        <v>0.12</v>
      </c>
      <c r="E13" s="16">
        <v>0.12</v>
      </c>
      <c r="F13" s="16">
        <v>0.09</v>
      </c>
      <c r="G13" s="16">
        <v>7.0000000000000007E-2</v>
      </c>
      <c r="H13" s="16">
        <v>0.08</v>
      </c>
      <c r="I13" s="16">
        <v>0.05</v>
      </c>
      <c r="J13" s="16"/>
      <c r="K13" s="16"/>
      <c r="L13" s="16"/>
      <c r="M13" s="16"/>
      <c r="N13" s="16"/>
      <c r="O13" s="16"/>
    </row>
    <row r="14" spans="1:15" ht="30" customHeight="1" x14ac:dyDescent="0.4">
      <c r="A14" s="5" t="s">
        <v>117</v>
      </c>
      <c r="B14" s="16"/>
      <c r="C14" s="16"/>
      <c r="D14" s="16"/>
      <c r="E14" s="16"/>
      <c r="F14" s="16"/>
      <c r="G14" s="16"/>
      <c r="H14" s="16"/>
      <c r="I14" s="16"/>
      <c r="J14" s="16"/>
      <c r="K14" s="16"/>
      <c r="L14" s="16"/>
      <c r="M14" s="16"/>
      <c r="N14" s="16"/>
      <c r="O14" s="16"/>
    </row>
    <row r="15" spans="1:15" x14ac:dyDescent="0.35">
      <c r="A15" s="11" t="s">
        <v>386</v>
      </c>
      <c r="B15" s="16" t="s">
        <v>387</v>
      </c>
      <c r="C15" s="16" t="s">
        <v>388</v>
      </c>
      <c r="D15" s="16" t="s">
        <v>389</v>
      </c>
      <c r="E15" s="16" t="s">
        <v>390</v>
      </c>
      <c r="F15" s="16" t="s">
        <v>391</v>
      </c>
      <c r="G15" s="16" t="s">
        <v>392</v>
      </c>
      <c r="H15" s="16" t="s">
        <v>393</v>
      </c>
      <c r="I15" s="16" t="s">
        <v>394</v>
      </c>
      <c r="J15" s="16"/>
      <c r="K15" s="16"/>
      <c r="L15" s="16"/>
      <c r="M15" s="16"/>
      <c r="N15" s="16"/>
      <c r="O15" s="16"/>
    </row>
    <row r="16" spans="1:15" x14ac:dyDescent="0.35">
      <c r="A16" s="8" t="s">
        <v>395</v>
      </c>
      <c r="B16" s="12">
        <v>2833</v>
      </c>
      <c r="C16" s="12">
        <v>1995</v>
      </c>
      <c r="D16" s="12">
        <v>2069</v>
      </c>
      <c r="E16" s="12">
        <v>1890</v>
      </c>
      <c r="F16" s="12">
        <v>1696</v>
      </c>
      <c r="G16" s="12">
        <v>1607</v>
      </c>
      <c r="H16" s="12">
        <v>1514</v>
      </c>
      <c r="I16" s="12">
        <v>1229</v>
      </c>
      <c r="J16" s="12"/>
      <c r="K16" s="12"/>
      <c r="L16" s="12"/>
      <c r="M16" s="12"/>
      <c r="N16" s="12"/>
      <c r="O16" s="12"/>
    </row>
    <row r="17" spans="1:15" ht="30" customHeight="1" x14ac:dyDescent="0.4">
      <c r="A17" s="5" t="s">
        <v>118</v>
      </c>
      <c r="B17" s="13"/>
      <c r="C17" s="13"/>
      <c r="D17" s="13"/>
      <c r="E17" s="13"/>
      <c r="F17" s="13"/>
      <c r="G17" s="13"/>
      <c r="H17" s="13"/>
      <c r="I17" s="13"/>
      <c r="J17" s="13"/>
      <c r="K17" s="13"/>
      <c r="L17" s="13"/>
      <c r="M17" s="13"/>
      <c r="N17" s="13"/>
      <c r="O17" s="13"/>
    </row>
    <row r="18" spans="1:15" x14ac:dyDescent="0.35">
      <c r="A18" s="11" t="s">
        <v>538</v>
      </c>
      <c r="B18" s="13" t="s">
        <v>390</v>
      </c>
      <c r="C18" s="13" t="s">
        <v>391</v>
      </c>
      <c r="D18" s="13" t="s">
        <v>392</v>
      </c>
      <c r="E18" s="13" t="s">
        <v>393</v>
      </c>
      <c r="F18" s="13"/>
      <c r="G18" s="13"/>
      <c r="H18" s="13"/>
      <c r="I18" s="13"/>
      <c r="J18" s="13"/>
      <c r="K18" s="13"/>
      <c r="L18" s="13"/>
      <c r="M18" s="13"/>
      <c r="N18" s="13"/>
      <c r="O18" s="13"/>
    </row>
    <row r="19" spans="1:15" x14ac:dyDescent="0.35">
      <c r="A19" s="8" t="s">
        <v>545</v>
      </c>
      <c r="B19" s="15">
        <v>0.28000000000000003</v>
      </c>
      <c r="C19" s="15">
        <v>0.32</v>
      </c>
      <c r="D19" s="15">
        <v>0.35</v>
      </c>
      <c r="E19" s="15">
        <v>0.37</v>
      </c>
      <c r="F19" s="15"/>
      <c r="G19" s="15"/>
      <c r="H19" s="15"/>
      <c r="I19" s="15"/>
      <c r="J19" s="15"/>
      <c r="K19" s="15"/>
      <c r="L19" s="15"/>
      <c r="M19" s="15"/>
      <c r="N19" s="15"/>
      <c r="O19" s="15"/>
    </row>
    <row r="20" spans="1:15" x14ac:dyDescent="0.35">
      <c r="A20" s="11" t="s">
        <v>546</v>
      </c>
      <c r="B20" s="16">
        <v>0.1</v>
      </c>
      <c r="C20" s="16">
        <v>0.11</v>
      </c>
      <c r="D20" s="16">
        <v>0.11</v>
      </c>
      <c r="E20" s="16">
        <v>0.1</v>
      </c>
      <c r="F20" s="16"/>
      <c r="G20" s="16"/>
      <c r="H20" s="16"/>
      <c r="I20" s="16"/>
      <c r="J20" s="16"/>
      <c r="K20" s="16"/>
      <c r="L20" s="16"/>
      <c r="M20" s="16"/>
      <c r="N20" s="16"/>
      <c r="O20" s="16"/>
    </row>
    <row r="21" spans="1:15" x14ac:dyDescent="0.35">
      <c r="A21" s="11" t="s">
        <v>547</v>
      </c>
      <c r="B21" s="16">
        <v>0.14000000000000001</v>
      </c>
      <c r="C21" s="16">
        <v>0.13</v>
      </c>
      <c r="D21" s="16">
        <v>0.12</v>
      </c>
      <c r="E21" s="16">
        <v>0.12</v>
      </c>
      <c r="F21" s="16"/>
      <c r="G21" s="16"/>
      <c r="H21" s="16"/>
      <c r="I21" s="16"/>
      <c r="J21" s="16"/>
      <c r="K21" s="16"/>
      <c r="L21" s="16"/>
      <c r="M21" s="16"/>
      <c r="N21" s="16"/>
      <c r="O21" s="16"/>
    </row>
    <row r="22" spans="1:15" x14ac:dyDescent="0.35">
      <c r="A22" s="11" t="s">
        <v>548</v>
      </c>
      <c r="B22" s="16">
        <v>0.21</v>
      </c>
      <c r="C22" s="16">
        <v>0.19</v>
      </c>
      <c r="D22" s="16">
        <v>0.17</v>
      </c>
      <c r="E22" s="16">
        <v>0.16</v>
      </c>
      <c r="F22" s="16"/>
      <c r="G22" s="16"/>
      <c r="H22" s="16"/>
      <c r="I22" s="16"/>
      <c r="J22" s="16"/>
      <c r="K22" s="16"/>
      <c r="L22" s="16"/>
      <c r="M22" s="16"/>
      <c r="N22" s="16"/>
      <c r="O22" s="16"/>
    </row>
    <row r="23" spans="1:15" x14ac:dyDescent="0.35">
      <c r="A23" s="11" t="s">
        <v>549</v>
      </c>
      <c r="B23" s="16">
        <v>0.16</v>
      </c>
      <c r="C23" s="16">
        <v>0.15</v>
      </c>
      <c r="D23" s="16">
        <v>0.14000000000000001</v>
      </c>
      <c r="E23" s="16">
        <v>0.14000000000000001</v>
      </c>
      <c r="F23" s="16"/>
      <c r="G23" s="16"/>
      <c r="H23" s="16"/>
      <c r="I23" s="16"/>
      <c r="J23" s="16"/>
      <c r="K23" s="16"/>
      <c r="L23" s="16"/>
      <c r="M23" s="16"/>
      <c r="N23" s="16"/>
      <c r="O23" s="16"/>
    </row>
    <row r="24" spans="1:15" x14ac:dyDescent="0.35">
      <c r="A24" s="11" t="s">
        <v>550</v>
      </c>
      <c r="B24" s="16">
        <v>0.1</v>
      </c>
      <c r="C24" s="16">
        <v>0.1</v>
      </c>
      <c r="D24" s="16">
        <v>0.11</v>
      </c>
      <c r="E24" s="16">
        <v>0.1</v>
      </c>
      <c r="F24" s="16"/>
      <c r="G24" s="16"/>
      <c r="H24" s="16"/>
      <c r="I24" s="16"/>
      <c r="J24" s="16"/>
      <c r="K24" s="16"/>
      <c r="L24" s="16"/>
      <c r="M24" s="16"/>
      <c r="N24" s="16"/>
      <c r="O24" s="16"/>
    </row>
    <row r="25" spans="1:15" ht="30" customHeight="1" x14ac:dyDescent="0.4">
      <c r="A25" s="5" t="s">
        <v>119</v>
      </c>
      <c r="B25" s="16"/>
      <c r="C25" s="16"/>
      <c r="D25" s="16"/>
      <c r="E25" s="16"/>
      <c r="F25" s="16"/>
      <c r="G25" s="16"/>
      <c r="H25" s="16"/>
      <c r="I25" s="16"/>
      <c r="J25" s="16"/>
      <c r="K25" s="16"/>
      <c r="L25" s="16"/>
      <c r="M25" s="16"/>
      <c r="N25" s="16"/>
      <c r="O25" s="16"/>
    </row>
    <row r="26" spans="1:15" x14ac:dyDescent="0.35">
      <c r="A26" s="11" t="s">
        <v>467</v>
      </c>
      <c r="B26" s="16" t="s">
        <v>390</v>
      </c>
      <c r="C26" s="16" t="s">
        <v>391</v>
      </c>
      <c r="D26" s="16" t="s">
        <v>392</v>
      </c>
      <c r="E26" s="16" t="s">
        <v>393</v>
      </c>
      <c r="F26" s="16"/>
      <c r="G26" s="16"/>
      <c r="H26" s="16"/>
      <c r="I26" s="16"/>
      <c r="J26" s="16"/>
      <c r="K26" s="16"/>
      <c r="L26" s="16"/>
      <c r="M26" s="16"/>
      <c r="N26" s="16"/>
      <c r="O26" s="16"/>
    </row>
    <row r="27" spans="1:15" x14ac:dyDescent="0.35">
      <c r="A27" s="8" t="s">
        <v>395</v>
      </c>
      <c r="B27" s="12">
        <v>2808</v>
      </c>
      <c r="C27" s="12">
        <v>2544</v>
      </c>
      <c r="D27" s="12">
        <v>2289</v>
      </c>
      <c r="E27" s="12">
        <v>2121</v>
      </c>
      <c r="F27" s="12"/>
      <c r="G27" s="12"/>
      <c r="H27" s="12"/>
      <c r="I27" s="12"/>
      <c r="J27" s="12"/>
      <c r="K27" s="12"/>
      <c r="L27" s="12"/>
      <c r="M27" s="12"/>
      <c r="N27" s="12"/>
      <c r="O27" s="12"/>
    </row>
    <row r="28" spans="1:15" x14ac:dyDescent="0.35">
      <c r="A28" s="11"/>
      <c r="B28" s="13"/>
      <c r="C28" s="13"/>
      <c r="D28" s="13"/>
      <c r="E28" s="13"/>
      <c r="F28" s="13"/>
      <c r="G28" s="13"/>
      <c r="H28" s="13"/>
      <c r="I28" s="13"/>
      <c r="J28" s="13"/>
      <c r="K28" s="13"/>
      <c r="L28" s="13"/>
      <c r="M28" s="13"/>
      <c r="N28" s="13"/>
      <c r="O28" s="13"/>
    </row>
    <row r="29" spans="1:15" x14ac:dyDescent="0.35">
      <c r="A29" s="11"/>
      <c r="B29" s="13"/>
      <c r="C29" s="13"/>
      <c r="D29" s="13"/>
      <c r="E29" s="13"/>
      <c r="F29" s="13"/>
      <c r="G29" s="13"/>
      <c r="H29" s="13"/>
      <c r="I29" s="13"/>
      <c r="J29" s="13"/>
      <c r="K29" s="13"/>
      <c r="L29" s="13"/>
      <c r="M29" s="13"/>
      <c r="N29" s="13"/>
      <c r="O29" s="13"/>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126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ht="29" x14ac:dyDescent="0.35">
      <c r="A5" s="8" t="s">
        <v>522</v>
      </c>
      <c r="B5" s="9"/>
      <c r="C5" s="9"/>
      <c r="D5" s="9"/>
      <c r="E5" s="9"/>
      <c r="F5" s="9"/>
      <c r="G5" s="9"/>
      <c r="H5" s="9"/>
      <c r="I5" s="9"/>
      <c r="J5" s="9"/>
      <c r="K5" s="9"/>
      <c r="L5" s="9"/>
      <c r="M5" s="9"/>
      <c r="N5" s="9"/>
      <c r="O5" s="9"/>
    </row>
    <row r="6" spans="1:15" x14ac:dyDescent="0.35">
      <c r="A6" s="10" t="s">
        <v>1</v>
      </c>
      <c r="B6" s="9"/>
      <c r="C6" s="9"/>
      <c r="D6" s="9"/>
      <c r="E6" s="9"/>
      <c r="F6" s="9"/>
      <c r="G6" s="9"/>
      <c r="H6" s="9"/>
      <c r="I6" s="9"/>
      <c r="J6" s="9"/>
      <c r="K6" s="9"/>
      <c r="L6" s="9"/>
      <c r="M6" s="9"/>
      <c r="N6" s="9"/>
      <c r="O6" s="9"/>
    </row>
    <row r="7" spans="1:15" ht="30" customHeight="1" x14ac:dyDescent="0.4">
      <c r="A7" s="5" t="s">
        <v>125</v>
      </c>
      <c r="B7" s="9"/>
      <c r="C7" s="9"/>
      <c r="D7" s="9"/>
      <c r="E7" s="9"/>
      <c r="F7" s="9"/>
      <c r="G7" s="9"/>
      <c r="H7" s="9"/>
      <c r="I7" s="9"/>
      <c r="J7" s="9"/>
      <c r="K7" s="9"/>
      <c r="L7" s="9"/>
      <c r="M7" s="9"/>
      <c r="N7" s="9"/>
      <c r="O7" s="9"/>
    </row>
    <row r="8" spans="1:15" x14ac:dyDescent="0.35">
      <c r="A8" s="11" t="s">
        <v>386</v>
      </c>
      <c r="B8" s="9" t="s">
        <v>387</v>
      </c>
      <c r="C8" s="9" t="s">
        <v>388</v>
      </c>
      <c r="D8" s="9" t="s">
        <v>389</v>
      </c>
      <c r="E8" s="9" t="s">
        <v>390</v>
      </c>
      <c r="F8" s="9" t="s">
        <v>391</v>
      </c>
      <c r="G8" s="9" t="s">
        <v>392</v>
      </c>
      <c r="H8" s="9" t="s">
        <v>393</v>
      </c>
      <c r="I8" s="9" t="s">
        <v>394</v>
      </c>
      <c r="J8" s="9"/>
      <c r="K8" s="9"/>
      <c r="L8" s="9"/>
      <c r="M8" s="9"/>
      <c r="N8" s="9"/>
      <c r="O8" s="9"/>
    </row>
    <row r="9" spans="1:15" x14ac:dyDescent="0.35">
      <c r="A9" s="8" t="s">
        <v>528</v>
      </c>
      <c r="B9" s="15">
        <v>0.78</v>
      </c>
      <c r="C9" s="15">
        <v>0.69</v>
      </c>
      <c r="D9" s="15">
        <v>0.71</v>
      </c>
      <c r="E9" s="15">
        <v>0.73</v>
      </c>
      <c r="F9" s="15">
        <v>0.76</v>
      </c>
      <c r="G9" s="15">
        <v>0.71</v>
      </c>
      <c r="H9" s="15">
        <v>0.63</v>
      </c>
      <c r="I9" s="15">
        <v>0.4</v>
      </c>
      <c r="J9" s="15"/>
      <c r="K9" s="15"/>
      <c r="L9" s="15"/>
      <c r="M9" s="15"/>
      <c r="N9" s="15"/>
      <c r="O9" s="15"/>
    </row>
    <row r="10" spans="1:15" x14ac:dyDescent="0.35">
      <c r="A10" s="11" t="s">
        <v>527</v>
      </c>
      <c r="B10" s="16">
        <v>0.48</v>
      </c>
      <c r="C10" s="16">
        <v>0.5</v>
      </c>
      <c r="D10" s="16">
        <v>0.54</v>
      </c>
      <c r="E10" s="16">
        <v>0.48</v>
      </c>
      <c r="F10" s="16">
        <v>0.46</v>
      </c>
      <c r="G10" s="16">
        <v>0.38</v>
      </c>
      <c r="H10" s="16">
        <v>0.45</v>
      </c>
      <c r="I10" s="16">
        <v>0.39</v>
      </c>
      <c r="J10" s="16"/>
      <c r="K10" s="16"/>
      <c r="L10" s="16"/>
      <c r="M10" s="16"/>
      <c r="N10" s="16"/>
      <c r="O10" s="16"/>
    </row>
    <row r="11" spans="1:15" x14ac:dyDescent="0.35">
      <c r="A11" s="11" t="s">
        <v>525</v>
      </c>
      <c r="B11" s="16">
        <v>0.4</v>
      </c>
      <c r="C11" s="16">
        <v>0.34</v>
      </c>
      <c r="D11" s="16">
        <v>0.39</v>
      </c>
      <c r="E11" s="16">
        <v>0.42</v>
      </c>
      <c r="F11" s="16">
        <v>0.42</v>
      </c>
      <c r="G11" s="16">
        <v>0.35</v>
      </c>
      <c r="H11" s="16">
        <v>0.3</v>
      </c>
      <c r="I11" s="16">
        <v>0.25</v>
      </c>
      <c r="J11" s="16"/>
      <c r="K11" s="16"/>
      <c r="L11" s="16"/>
      <c r="M11" s="16"/>
      <c r="N11" s="16"/>
      <c r="O11" s="16"/>
    </row>
    <row r="12" spans="1:15" x14ac:dyDescent="0.35">
      <c r="A12" s="11" t="s">
        <v>503</v>
      </c>
      <c r="B12" s="16">
        <v>0.4</v>
      </c>
      <c r="C12" s="16">
        <v>0.35</v>
      </c>
      <c r="D12" s="16">
        <v>0.28000000000000003</v>
      </c>
      <c r="E12" s="16">
        <v>0.39</v>
      </c>
      <c r="F12" s="16">
        <v>0.39</v>
      </c>
      <c r="G12" s="16">
        <v>0.35</v>
      </c>
      <c r="H12" s="16">
        <v>0.38</v>
      </c>
      <c r="I12" s="16">
        <v>0.21</v>
      </c>
      <c r="J12" s="16"/>
      <c r="K12" s="16"/>
      <c r="L12" s="16"/>
      <c r="M12" s="16"/>
      <c r="N12" s="16"/>
      <c r="O12" s="16"/>
    </row>
    <row r="13" spans="1:15" x14ac:dyDescent="0.35">
      <c r="A13" s="11" t="s">
        <v>526</v>
      </c>
      <c r="B13" s="16">
        <v>0.28999999999999998</v>
      </c>
      <c r="C13" s="16">
        <v>0.26</v>
      </c>
      <c r="D13" s="16">
        <v>0.25</v>
      </c>
      <c r="E13" s="16">
        <v>0.27</v>
      </c>
      <c r="F13" s="16">
        <v>0.23</v>
      </c>
      <c r="G13" s="16">
        <v>0.16</v>
      </c>
      <c r="H13" s="16">
        <v>0.16</v>
      </c>
      <c r="I13" s="16">
        <v>0.1</v>
      </c>
      <c r="J13" s="16"/>
      <c r="K13" s="16"/>
      <c r="L13" s="16"/>
      <c r="M13" s="16"/>
      <c r="N13" s="16"/>
      <c r="O13" s="16"/>
    </row>
    <row r="14" spans="1:15" x14ac:dyDescent="0.35">
      <c r="A14" s="11" t="s">
        <v>524</v>
      </c>
      <c r="B14" s="16">
        <v>0.23</v>
      </c>
      <c r="C14" s="16">
        <v>0.22</v>
      </c>
      <c r="D14" s="16">
        <v>0.22</v>
      </c>
      <c r="E14" s="16">
        <v>0.28000000000000003</v>
      </c>
      <c r="F14" s="16">
        <v>0.27</v>
      </c>
      <c r="G14" s="16">
        <v>0.27</v>
      </c>
      <c r="H14" s="16">
        <v>0.19</v>
      </c>
      <c r="I14" s="16">
        <v>0.16</v>
      </c>
      <c r="J14" s="16"/>
      <c r="K14" s="16"/>
      <c r="L14" s="16"/>
      <c r="M14" s="16"/>
      <c r="N14" s="16"/>
      <c r="O14" s="16"/>
    </row>
    <row r="15" spans="1:15" x14ac:dyDescent="0.35">
      <c r="A15" s="11" t="s">
        <v>523</v>
      </c>
      <c r="B15" s="16">
        <v>0.15</v>
      </c>
      <c r="C15" s="16">
        <v>0.1</v>
      </c>
      <c r="D15" s="16">
        <v>0.13</v>
      </c>
      <c r="E15" s="16">
        <v>0.12</v>
      </c>
      <c r="F15" s="16">
        <v>0.13</v>
      </c>
      <c r="G15" s="16">
        <v>0.09</v>
      </c>
      <c r="H15" s="16">
        <v>0.09</v>
      </c>
      <c r="I15" s="16">
        <v>0.1</v>
      </c>
      <c r="J15" s="16"/>
      <c r="K15" s="16"/>
      <c r="L15" s="16"/>
      <c r="M15" s="16"/>
      <c r="N15" s="16"/>
      <c r="O15" s="16"/>
    </row>
    <row r="16" spans="1:15" x14ac:dyDescent="0.35">
      <c r="A16" s="11" t="s">
        <v>395</v>
      </c>
      <c r="B16" s="16">
        <v>0.36</v>
      </c>
      <c r="C16" s="16">
        <v>0.33</v>
      </c>
      <c r="D16" s="16">
        <v>0.33</v>
      </c>
      <c r="E16" s="16">
        <v>0.35</v>
      </c>
      <c r="F16" s="16">
        <v>0.34</v>
      </c>
      <c r="G16" s="16">
        <v>0.3</v>
      </c>
      <c r="H16" s="16">
        <v>0.28999999999999998</v>
      </c>
      <c r="I16" s="16">
        <v>0.22</v>
      </c>
      <c r="J16" s="16"/>
      <c r="K16" s="16"/>
      <c r="L16" s="16"/>
      <c r="M16" s="16"/>
      <c r="N16" s="16"/>
      <c r="O16" s="16"/>
    </row>
    <row r="17" spans="1:15" ht="30" customHeight="1" x14ac:dyDescent="0.4">
      <c r="A17" s="5" t="s">
        <v>122</v>
      </c>
      <c r="B17" s="16"/>
      <c r="C17" s="16"/>
      <c r="D17" s="16"/>
      <c r="E17" s="16"/>
      <c r="F17" s="16"/>
      <c r="G17" s="16"/>
      <c r="H17" s="16"/>
      <c r="I17" s="16"/>
      <c r="J17" s="16"/>
      <c r="K17" s="16"/>
      <c r="L17" s="16"/>
      <c r="M17" s="16"/>
      <c r="N17" s="16"/>
      <c r="O17" s="16"/>
    </row>
    <row r="18" spans="1:15" x14ac:dyDescent="0.35">
      <c r="A18" s="11" t="s">
        <v>386</v>
      </c>
      <c r="B18" s="16" t="s">
        <v>387</v>
      </c>
      <c r="C18" s="16" t="s">
        <v>388</v>
      </c>
      <c r="D18" s="16" t="s">
        <v>389</v>
      </c>
      <c r="E18" s="16" t="s">
        <v>390</v>
      </c>
      <c r="F18" s="16" t="s">
        <v>391</v>
      </c>
      <c r="G18" s="16" t="s">
        <v>392</v>
      </c>
      <c r="H18" s="16" t="s">
        <v>393</v>
      </c>
      <c r="I18" s="16" t="s">
        <v>394</v>
      </c>
      <c r="J18" s="16"/>
      <c r="K18" s="16"/>
      <c r="L18" s="16"/>
      <c r="M18" s="16"/>
      <c r="N18" s="16"/>
      <c r="O18" s="16"/>
    </row>
    <row r="19" spans="1:15" x14ac:dyDescent="0.35">
      <c r="A19" s="8" t="s">
        <v>528</v>
      </c>
      <c r="B19" s="15">
        <v>0.14000000000000001</v>
      </c>
      <c r="C19" s="15">
        <v>0.13</v>
      </c>
      <c r="D19" s="15">
        <v>0.11</v>
      </c>
      <c r="E19" s="15">
        <v>0.11</v>
      </c>
      <c r="F19" s="15">
        <v>0.12</v>
      </c>
      <c r="G19" s="15">
        <v>0.12</v>
      </c>
      <c r="H19" s="15">
        <v>0.1</v>
      </c>
      <c r="I19" s="15">
        <v>0.08</v>
      </c>
      <c r="J19" s="15"/>
      <c r="K19" s="15"/>
      <c r="L19" s="15"/>
      <c r="M19" s="15"/>
      <c r="N19" s="15"/>
      <c r="O19" s="15"/>
    </row>
    <row r="20" spans="1:15" x14ac:dyDescent="0.35">
      <c r="A20" s="11" t="s">
        <v>527</v>
      </c>
      <c r="B20" s="16">
        <v>0.22</v>
      </c>
      <c r="C20" s="16">
        <v>0.25</v>
      </c>
      <c r="D20" s="16">
        <v>0.25</v>
      </c>
      <c r="E20" s="16">
        <v>0.19</v>
      </c>
      <c r="F20" s="16">
        <v>0.2</v>
      </c>
      <c r="G20" s="16">
        <v>0.22</v>
      </c>
      <c r="H20" s="16">
        <v>0.28999999999999998</v>
      </c>
      <c r="I20" s="16">
        <v>0.35</v>
      </c>
      <c r="J20" s="16"/>
      <c r="K20" s="16"/>
      <c r="L20" s="16"/>
      <c r="M20" s="16"/>
      <c r="N20" s="16"/>
      <c r="O20" s="16"/>
    </row>
    <row r="21" spans="1:15" x14ac:dyDescent="0.35">
      <c r="A21" s="11" t="s">
        <v>525</v>
      </c>
      <c r="B21" s="16">
        <v>0.2</v>
      </c>
      <c r="C21" s="16">
        <v>0.2</v>
      </c>
      <c r="D21" s="16">
        <v>0.24</v>
      </c>
      <c r="E21" s="16">
        <v>0.24</v>
      </c>
      <c r="F21" s="16">
        <v>0.23</v>
      </c>
      <c r="G21" s="16">
        <v>0.23</v>
      </c>
      <c r="H21" s="16">
        <v>0.19</v>
      </c>
      <c r="I21" s="16">
        <v>0.18</v>
      </c>
      <c r="J21" s="16"/>
      <c r="K21" s="16"/>
      <c r="L21" s="16"/>
      <c r="M21" s="16"/>
      <c r="N21" s="16"/>
      <c r="O21" s="16"/>
    </row>
    <row r="22" spans="1:15" x14ac:dyDescent="0.35">
      <c r="A22" s="11" t="s">
        <v>503</v>
      </c>
      <c r="B22" s="16">
        <v>0.15</v>
      </c>
      <c r="C22" s="16">
        <v>0.15</v>
      </c>
      <c r="D22" s="16">
        <v>0.15</v>
      </c>
      <c r="E22" s="16">
        <v>0.17</v>
      </c>
      <c r="F22" s="16">
        <v>0.18</v>
      </c>
      <c r="G22" s="16">
        <v>0.2</v>
      </c>
      <c r="H22" s="16">
        <v>0.21</v>
      </c>
      <c r="I22" s="16">
        <v>0.16</v>
      </c>
      <c r="J22" s="16"/>
      <c r="K22" s="16"/>
      <c r="L22" s="16"/>
      <c r="M22" s="16"/>
      <c r="N22" s="16"/>
      <c r="O22" s="16"/>
    </row>
    <row r="23" spans="1:15" x14ac:dyDescent="0.35">
      <c r="A23" s="11" t="s">
        <v>526</v>
      </c>
      <c r="B23" s="16">
        <v>0.12</v>
      </c>
      <c r="C23" s="16">
        <v>0.13</v>
      </c>
      <c r="D23" s="16">
        <v>0.12</v>
      </c>
      <c r="E23" s="16">
        <v>0.14000000000000001</v>
      </c>
      <c r="F23" s="16">
        <v>0.12</v>
      </c>
      <c r="G23" s="16">
        <v>7.0000000000000007E-2</v>
      </c>
      <c r="H23" s="16">
        <v>0.08</v>
      </c>
      <c r="I23" s="16">
        <v>7.0000000000000007E-2</v>
      </c>
      <c r="J23" s="16"/>
      <c r="K23" s="16"/>
      <c r="L23" s="16"/>
      <c r="M23" s="16"/>
      <c r="N23" s="16"/>
      <c r="O23" s="16"/>
    </row>
    <row r="24" spans="1:15" x14ac:dyDescent="0.35">
      <c r="A24" s="11" t="s">
        <v>524</v>
      </c>
      <c r="B24" s="16">
        <v>0.11</v>
      </c>
      <c r="C24" s="16">
        <v>0.1</v>
      </c>
      <c r="D24" s="16">
        <v>0.09</v>
      </c>
      <c r="E24" s="16">
        <v>0.1</v>
      </c>
      <c r="F24" s="16">
        <v>0.09</v>
      </c>
      <c r="G24" s="16">
        <v>0.13</v>
      </c>
      <c r="H24" s="16">
        <v>0.09</v>
      </c>
      <c r="I24" s="16">
        <v>0.11</v>
      </c>
      <c r="J24" s="16"/>
      <c r="K24" s="16"/>
      <c r="L24" s="16"/>
      <c r="M24" s="16"/>
      <c r="N24" s="16"/>
      <c r="O24" s="16"/>
    </row>
    <row r="25" spans="1:15" x14ac:dyDescent="0.35">
      <c r="A25" s="11" t="s">
        <v>523</v>
      </c>
      <c r="B25" s="16">
        <v>0.06</v>
      </c>
      <c r="C25" s="16">
        <v>0.04</v>
      </c>
      <c r="D25" s="16">
        <v>0.05</v>
      </c>
      <c r="E25" s="16">
        <v>0.06</v>
      </c>
      <c r="F25" s="16">
        <v>0.06</v>
      </c>
      <c r="G25" s="16">
        <v>0.04</v>
      </c>
      <c r="H25" s="16">
        <v>0.04</v>
      </c>
      <c r="I25" s="16">
        <v>0.05</v>
      </c>
      <c r="J25" s="16"/>
      <c r="K25" s="16"/>
      <c r="L25" s="16"/>
      <c r="M25" s="16"/>
      <c r="N25" s="16"/>
      <c r="O25" s="16"/>
    </row>
    <row r="26" spans="1:15" x14ac:dyDescent="0.35">
      <c r="A26" s="11" t="s">
        <v>395</v>
      </c>
      <c r="B26" s="16">
        <v>1</v>
      </c>
      <c r="C26" s="16">
        <v>1</v>
      </c>
      <c r="D26" s="16">
        <v>1</v>
      </c>
      <c r="E26" s="16">
        <v>1</v>
      </c>
      <c r="F26" s="16">
        <v>1</v>
      </c>
      <c r="G26" s="16">
        <v>1</v>
      </c>
      <c r="H26" s="16">
        <v>1</v>
      </c>
      <c r="I26" s="16">
        <v>1</v>
      </c>
      <c r="J26" s="16"/>
      <c r="K26" s="16"/>
      <c r="L26" s="16"/>
      <c r="M26" s="16"/>
      <c r="N26" s="16"/>
      <c r="O26" s="16"/>
    </row>
    <row r="27" spans="1:15" ht="30" customHeight="1" x14ac:dyDescent="0.4">
      <c r="A27" s="5" t="s">
        <v>123</v>
      </c>
      <c r="B27" s="16"/>
      <c r="C27" s="16"/>
      <c r="D27" s="16"/>
      <c r="E27" s="16"/>
      <c r="F27" s="16"/>
      <c r="G27" s="16"/>
      <c r="H27" s="16"/>
      <c r="I27" s="16"/>
      <c r="J27" s="16"/>
      <c r="K27" s="16"/>
      <c r="L27" s="16"/>
      <c r="M27" s="16"/>
      <c r="N27" s="16"/>
      <c r="O27" s="16"/>
    </row>
    <row r="28" spans="1:15" x14ac:dyDescent="0.35">
      <c r="A28" s="11" t="s">
        <v>386</v>
      </c>
      <c r="B28" s="16" t="s">
        <v>387</v>
      </c>
      <c r="C28" s="16" t="s">
        <v>388</v>
      </c>
      <c r="D28" s="16" t="s">
        <v>389</v>
      </c>
      <c r="E28" s="16" t="s">
        <v>390</v>
      </c>
      <c r="F28" s="16" t="s">
        <v>391</v>
      </c>
      <c r="G28" s="16" t="s">
        <v>392</v>
      </c>
      <c r="H28" s="16" t="s">
        <v>393</v>
      </c>
      <c r="I28" s="16" t="s">
        <v>394</v>
      </c>
      <c r="J28" s="16"/>
      <c r="K28" s="16"/>
      <c r="L28" s="16"/>
      <c r="M28" s="16"/>
      <c r="N28" s="16"/>
      <c r="O28" s="16"/>
    </row>
    <row r="29" spans="1:15" x14ac:dyDescent="0.35">
      <c r="A29" s="8" t="s">
        <v>528</v>
      </c>
      <c r="B29" s="12">
        <v>38</v>
      </c>
      <c r="C29" s="12">
        <v>39</v>
      </c>
      <c r="D29" s="12">
        <v>37</v>
      </c>
      <c r="E29" s="12">
        <v>39</v>
      </c>
      <c r="F29" s="12">
        <v>39</v>
      </c>
      <c r="G29" s="12">
        <v>37</v>
      </c>
      <c r="H29" s="12">
        <v>39</v>
      </c>
      <c r="I29" s="12">
        <v>30</v>
      </c>
      <c r="J29" s="12"/>
      <c r="K29" s="12"/>
      <c r="L29" s="12"/>
      <c r="M29" s="12"/>
      <c r="N29" s="12"/>
      <c r="O29" s="12"/>
    </row>
    <row r="30" spans="1:15" x14ac:dyDescent="0.35">
      <c r="A30" s="11" t="s">
        <v>527</v>
      </c>
      <c r="B30" s="13">
        <v>46</v>
      </c>
      <c r="C30" s="13">
        <v>42</v>
      </c>
      <c r="D30" s="13">
        <v>45</v>
      </c>
      <c r="E30" s="13">
        <v>48</v>
      </c>
      <c r="F30" s="13">
        <v>50</v>
      </c>
      <c r="G30" s="13">
        <v>45</v>
      </c>
      <c r="H30" s="13">
        <v>51</v>
      </c>
      <c r="I30" s="13">
        <v>49</v>
      </c>
      <c r="J30" s="13"/>
      <c r="K30" s="13"/>
      <c r="L30" s="13"/>
      <c r="M30" s="13"/>
      <c r="N30" s="13"/>
      <c r="O30" s="13"/>
    </row>
    <row r="31" spans="1:15" x14ac:dyDescent="0.35">
      <c r="A31" s="11" t="s">
        <v>525</v>
      </c>
      <c r="B31" s="13">
        <v>40</v>
      </c>
      <c r="C31" s="13">
        <v>40</v>
      </c>
      <c r="D31" s="13">
        <v>38</v>
      </c>
      <c r="E31" s="13">
        <v>39</v>
      </c>
      <c r="F31" s="13">
        <v>40</v>
      </c>
      <c r="G31" s="13">
        <v>40</v>
      </c>
      <c r="H31" s="13">
        <v>39</v>
      </c>
      <c r="I31" s="13">
        <v>38</v>
      </c>
      <c r="J31" s="13"/>
      <c r="K31" s="13"/>
      <c r="L31" s="13"/>
      <c r="M31" s="13"/>
      <c r="N31" s="13"/>
      <c r="O31" s="13"/>
    </row>
    <row r="32" spans="1:15" x14ac:dyDescent="0.35">
      <c r="A32" s="11" t="s">
        <v>503</v>
      </c>
      <c r="B32" s="13">
        <v>48</v>
      </c>
      <c r="C32" s="13">
        <v>53</v>
      </c>
      <c r="D32" s="13">
        <v>57</v>
      </c>
      <c r="E32" s="13">
        <v>49</v>
      </c>
      <c r="F32" s="13">
        <v>54</v>
      </c>
      <c r="G32" s="13">
        <v>55</v>
      </c>
      <c r="H32" s="13">
        <v>54</v>
      </c>
      <c r="I32" s="13">
        <v>58</v>
      </c>
      <c r="J32" s="13"/>
      <c r="K32" s="13"/>
      <c r="L32" s="13"/>
      <c r="M32" s="13"/>
      <c r="N32" s="13"/>
      <c r="O32" s="13"/>
    </row>
    <row r="33" spans="1:15" x14ac:dyDescent="0.35">
      <c r="A33" s="11" t="s">
        <v>526</v>
      </c>
      <c r="B33" s="13">
        <v>73</v>
      </c>
      <c r="C33" s="13">
        <v>71</v>
      </c>
      <c r="D33" s="13">
        <v>71</v>
      </c>
      <c r="E33" s="13">
        <v>73</v>
      </c>
      <c r="F33" s="13">
        <v>73</v>
      </c>
      <c r="G33" s="13">
        <v>73</v>
      </c>
      <c r="H33" s="13">
        <v>72</v>
      </c>
      <c r="I33" s="13">
        <v>72</v>
      </c>
      <c r="J33" s="13"/>
      <c r="K33" s="13"/>
      <c r="L33" s="13"/>
      <c r="M33" s="13"/>
      <c r="N33" s="13"/>
      <c r="O33" s="13"/>
    </row>
    <row r="34" spans="1:15" x14ac:dyDescent="0.35">
      <c r="A34" s="11" t="s">
        <v>524</v>
      </c>
      <c r="B34" s="13">
        <v>43</v>
      </c>
      <c r="C34" s="13">
        <v>40</v>
      </c>
      <c r="D34" s="13">
        <v>42</v>
      </c>
      <c r="E34" s="13">
        <v>44</v>
      </c>
      <c r="F34" s="13">
        <v>42</v>
      </c>
      <c r="G34" s="13">
        <v>44</v>
      </c>
      <c r="H34" s="13">
        <v>32</v>
      </c>
      <c r="I34" s="13">
        <v>47</v>
      </c>
      <c r="J34" s="13"/>
      <c r="K34" s="13"/>
      <c r="L34" s="13"/>
      <c r="M34" s="13"/>
      <c r="N34" s="13"/>
      <c r="O34" s="13"/>
    </row>
    <row r="35" spans="1:15" x14ac:dyDescent="0.35">
      <c r="A35" s="11" t="s">
        <v>523</v>
      </c>
      <c r="B35" s="13">
        <v>67</v>
      </c>
      <c r="C35" s="13">
        <v>67</v>
      </c>
      <c r="D35" s="13">
        <v>70</v>
      </c>
      <c r="E35" s="13">
        <v>69</v>
      </c>
      <c r="F35" s="13">
        <v>71</v>
      </c>
      <c r="G35" s="13">
        <v>68</v>
      </c>
      <c r="H35" s="13">
        <v>70</v>
      </c>
      <c r="I35" s="13">
        <v>72</v>
      </c>
      <c r="J35" s="13"/>
      <c r="K35" s="13"/>
      <c r="L35" s="13"/>
      <c r="M35" s="13"/>
      <c r="N35" s="13"/>
      <c r="O35" s="13"/>
    </row>
    <row r="36" spans="1:15" x14ac:dyDescent="0.35">
      <c r="A36" s="11" t="s">
        <v>395</v>
      </c>
      <c r="B36" s="13">
        <v>45</v>
      </c>
      <c r="C36" s="13">
        <v>45</v>
      </c>
      <c r="D36" s="13">
        <v>46</v>
      </c>
      <c r="E36" s="13">
        <v>48</v>
      </c>
      <c r="F36" s="13">
        <v>48</v>
      </c>
      <c r="G36" s="13">
        <v>47</v>
      </c>
      <c r="H36" s="13">
        <v>49</v>
      </c>
      <c r="I36" s="13">
        <v>51</v>
      </c>
      <c r="J36" s="13"/>
      <c r="K36" s="13"/>
      <c r="L36" s="13"/>
      <c r="M36" s="13"/>
      <c r="N36" s="13"/>
      <c r="O36" s="13"/>
    </row>
    <row r="37" spans="1:15" ht="30" customHeight="1" x14ac:dyDescent="0.4">
      <c r="A37" s="5" t="s">
        <v>124</v>
      </c>
      <c r="B37" s="13"/>
      <c r="C37" s="13"/>
      <c r="D37" s="13"/>
      <c r="E37" s="13"/>
      <c r="F37" s="13"/>
      <c r="G37" s="13"/>
      <c r="H37" s="13"/>
      <c r="I37" s="13"/>
      <c r="J37" s="13"/>
      <c r="K37" s="13"/>
      <c r="L37" s="13"/>
      <c r="M37" s="13"/>
      <c r="N37" s="13"/>
      <c r="O37" s="13"/>
    </row>
    <row r="38" spans="1:15" x14ac:dyDescent="0.35">
      <c r="A38" s="11" t="s">
        <v>386</v>
      </c>
      <c r="B38" s="13" t="s">
        <v>387</v>
      </c>
      <c r="C38" s="13" t="s">
        <v>388</v>
      </c>
      <c r="D38" s="13" t="s">
        <v>389</v>
      </c>
      <c r="E38" s="13" t="s">
        <v>390</v>
      </c>
      <c r="F38" s="13" t="s">
        <v>391</v>
      </c>
      <c r="G38" s="13" t="s">
        <v>392</v>
      </c>
      <c r="H38" s="13" t="s">
        <v>393</v>
      </c>
      <c r="I38" s="13" t="s">
        <v>394</v>
      </c>
      <c r="J38" s="13"/>
      <c r="K38" s="13"/>
      <c r="L38" s="13"/>
      <c r="M38" s="13"/>
      <c r="N38" s="13"/>
      <c r="O38" s="13"/>
    </row>
    <row r="39" spans="1:15" x14ac:dyDescent="0.35">
      <c r="A39" s="8" t="s">
        <v>528</v>
      </c>
      <c r="B39" s="12">
        <v>199</v>
      </c>
      <c r="C39" s="12">
        <v>120</v>
      </c>
      <c r="D39" s="12">
        <v>106</v>
      </c>
      <c r="E39" s="12">
        <v>88</v>
      </c>
      <c r="F39" s="12">
        <v>73</v>
      </c>
      <c r="G39" s="12">
        <v>66</v>
      </c>
      <c r="H39" s="12">
        <v>53</v>
      </c>
      <c r="I39" s="12">
        <v>32</v>
      </c>
      <c r="J39" s="12"/>
      <c r="K39" s="12"/>
      <c r="L39" s="12"/>
      <c r="M39" s="12"/>
      <c r="N39" s="12"/>
      <c r="O39" s="12"/>
    </row>
    <row r="40" spans="1:15" x14ac:dyDescent="0.35">
      <c r="A40" s="11" t="s">
        <v>527</v>
      </c>
      <c r="B40" s="13">
        <v>443</v>
      </c>
      <c r="C40" s="13">
        <v>287</v>
      </c>
      <c r="D40" s="13">
        <v>284</v>
      </c>
      <c r="E40" s="13">
        <v>226</v>
      </c>
      <c r="F40" s="13">
        <v>209</v>
      </c>
      <c r="G40" s="13">
        <v>222</v>
      </c>
      <c r="H40" s="13">
        <v>231</v>
      </c>
      <c r="I40" s="13">
        <v>191</v>
      </c>
      <c r="J40" s="13"/>
      <c r="K40" s="13"/>
      <c r="L40" s="13"/>
      <c r="M40" s="13"/>
      <c r="N40" s="13"/>
      <c r="O40" s="13"/>
    </row>
    <row r="41" spans="1:15" x14ac:dyDescent="0.35">
      <c r="A41" s="11" t="s">
        <v>525</v>
      </c>
      <c r="B41" s="13">
        <v>493</v>
      </c>
      <c r="C41" s="13">
        <v>370</v>
      </c>
      <c r="D41" s="13">
        <v>370</v>
      </c>
      <c r="E41" s="13">
        <v>314</v>
      </c>
      <c r="F41" s="13">
        <v>263</v>
      </c>
      <c r="G41" s="13">
        <v>253</v>
      </c>
      <c r="H41" s="13">
        <v>217</v>
      </c>
      <c r="I41" s="13">
        <v>139</v>
      </c>
      <c r="J41" s="13"/>
      <c r="K41" s="13"/>
      <c r="L41" s="13"/>
      <c r="M41" s="13"/>
      <c r="N41" s="13"/>
      <c r="O41" s="13"/>
    </row>
    <row r="42" spans="1:15" x14ac:dyDescent="0.35">
      <c r="A42" s="11" t="s">
        <v>503</v>
      </c>
      <c r="B42" s="13">
        <v>336</v>
      </c>
      <c r="C42" s="13">
        <v>233</v>
      </c>
      <c r="D42" s="13">
        <v>279</v>
      </c>
      <c r="E42" s="13">
        <v>242</v>
      </c>
      <c r="F42" s="13">
        <v>235</v>
      </c>
      <c r="G42" s="13">
        <v>227</v>
      </c>
      <c r="H42" s="13">
        <v>193</v>
      </c>
      <c r="I42" s="13">
        <v>169</v>
      </c>
      <c r="J42" s="13"/>
      <c r="K42" s="13"/>
      <c r="L42" s="13"/>
      <c r="M42" s="13"/>
      <c r="N42" s="13"/>
      <c r="O42" s="13"/>
    </row>
    <row r="43" spans="1:15" x14ac:dyDescent="0.35">
      <c r="A43" s="11" t="s">
        <v>526</v>
      </c>
      <c r="B43" s="13">
        <v>450</v>
      </c>
      <c r="C43" s="13">
        <v>342</v>
      </c>
      <c r="D43" s="13">
        <v>366</v>
      </c>
      <c r="E43" s="13">
        <v>391</v>
      </c>
      <c r="F43" s="13">
        <v>349</v>
      </c>
      <c r="G43" s="13">
        <v>295</v>
      </c>
      <c r="H43" s="13">
        <v>302</v>
      </c>
      <c r="I43" s="13">
        <v>242</v>
      </c>
      <c r="J43" s="13"/>
      <c r="K43" s="13"/>
      <c r="L43" s="13"/>
      <c r="M43" s="13"/>
      <c r="N43" s="13"/>
      <c r="O43" s="13"/>
    </row>
    <row r="44" spans="1:15" x14ac:dyDescent="0.35">
      <c r="A44" s="11" t="s">
        <v>524</v>
      </c>
      <c r="B44" s="13">
        <v>460</v>
      </c>
      <c r="C44" s="13">
        <v>280</v>
      </c>
      <c r="D44" s="13">
        <v>263</v>
      </c>
      <c r="E44" s="13">
        <v>206</v>
      </c>
      <c r="F44" s="13">
        <v>207</v>
      </c>
      <c r="G44" s="13">
        <v>222</v>
      </c>
      <c r="H44" s="13">
        <v>198</v>
      </c>
      <c r="I44" s="13">
        <v>195</v>
      </c>
      <c r="J44" s="13"/>
      <c r="K44" s="13"/>
      <c r="L44" s="13"/>
      <c r="M44" s="13"/>
      <c r="N44" s="13"/>
      <c r="O44" s="13"/>
    </row>
    <row r="45" spans="1:15" x14ac:dyDescent="0.35">
      <c r="A45" s="11" t="s">
        <v>523</v>
      </c>
      <c r="B45" s="13">
        <v>452</v>
      </c>
      <c r="C45" s="13">
        <v>363</v>
      </c>
      <c r="D45" s="13">
        <v>401</v>
      </c>
      <c r="E45" s="13">
        <v>423</v>
      </c>
      <c r="F45" s="13">
        <v>360</v>
      </c>
      <c r="G45" s="13">
        <v>322</v>
      </c>
      <c r="H45" s="13">
        <v>320</v>
      </c>
      <c r="I45" s="13">
        <v>261</v>
      </c>
      <c r="J45" s="13"/>
      <c r="K45" s="13"/>
      <c r="L45" s="13"/>
      <c r="M45" s="13"/>
      <c r="N45" s="13"/>
      <c r="O45" s="13"/>
    </row>
    <row r="46" spans="1:15" x14ac:dyDescent="0.35">
      <c r="A46" s="11" t="s">
        <v>395</v>
      </c>
      <c r="B46" s="13">
        <v>2833</v>
      </c>
      <c r="C46" s="13">
        <v>1995</v>
      </c>
      <c r="D46" s="13">
        <v>2069</v>
      </c>
      <c r="E46" s="13">
        <v>1890</v>
      </c>
      <c r="F46" s="13">
        <v>1696</v>
      </c>
      <c r="G46" s="13">
        <v>1607</v>
      </c>
      <c r="H46" s="13">
        <v>1514</v>
      </c>
      <c r="I46" s="13">
        <v>1229</v>
      </c>
      <c r="J46" s="13"/>
      <c r="K46" s="13"/>
      <c r="L46" s="13"/>
      <c r="M46" s="13"/>
      <c r="N46" s="13"/>
      <c r="O46" s="13"/>
    </row>
    <row r="47" spans="1:15" x14ac:dyDescent="0.35">
      <c r="A47" s="11"/>
      <c r="B47" s="13"/>
      <c r="C47" s="13"/>
      <c r="D47" s="13"/>
      <c r="E47" s="13"/>
      <c r="F47" s="13"/>
      <c r="G47" s="13"/>
      <c r="H47" s="13"/>
      <c r="I47" s="13"/>
      <c r="J47" s="13"/>
      <c r="K47" s="13"/>
      <c r="L47" s="13"/>
      <c r="M47" s="13"/>
      <c r="N47" s="13"/>
      <c r="O47" s="13"/>
    </row>
    <row r="48" spans="1:15" x14ac:dyDescent="0.35">
      <c r="A48" s="11"/>
      <c r="B48" s="13"/>
      <c r="C48" s="13"/>
      <c r="D48" s="13"/>
      <c r="E48" s="13"/>
      <c r="F48" s="13"/>
      <c r="G48" s="13"/>
      <c r="H48" s="13"/>
      <c r="I48" s="13"/>
      <c r="J48" s="13"/>
      <c r="K48" s="13"/>
      <c r="L48" s="13"/>
      <c r="M48" s="13"/>
      <c r="N48" s="13"/>
      <c r="O48" s="13"/>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131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8" t="s">
        <v>553</v>
      </c>
      <c r="B5" s="9"/>
      <c r="C5" s="9"/>
      <c r="D5" s="9"/>
      <c r="E5" s="9"/>
      <c r="F5" s="9"/>
      <c r="G5" s="9"/>
      <c r="H5" s="9"/>
      <c r="I5" s="9"/>
      <c r="J5" s="9"/>
      <c r="K5" s="9"/>
      <c r="L5" s="9"/>
      <c r="M5" s="9"/>
      <c r="N5" s="9"/>
      <c r="O5" s="9"/>
    </row>
    <row r="6" spans="1:15" x14ac:dyDescent="0.35">
      <c r="A6" s="10" t="s">
        <v>1</v>
      </c>
      <c r="B6" s="9"/>
      <c r="C6" s="9"/>
      <c r="D6" s="9"/>
      <c r="E6" s="9"/>
      <c r="F6" s="9"/>
      <c r="G6" s="9"/>
      <c r="H6" s="9"/>
      <c r="I6" s="9"/>
      <c r="J6" s="9"/>
      <c r="K6" s="9"/>
      <c r="L6" s="9"/>
      <c r="M6" s="9"/>
      <c r="N6" s="9"/>
      <c r="O6" s="9"/>
    </row>
    <row r="7" spans="1:15" ht="30" customHeight="1" x14ac:dyDescent="0.4">
      <c r="A7" s="5" t="s">
        <v>130</v>
      </c>
      <c r="B7" s="9"/>
      <c r="C7" s="9"/>
      <c r="D7" s="9"/>
      <c r="E7" s="9"/>
      <c r="F7" s="9"/>
      <c r="G7" s="9"/>
      <c r="H7" s="9"/>
      <c r="I7" s="9"/>
      <c r="J7" s="9"/>
      <c r="K7" s="9"/>
      <c r="L7" s="9"/>
      <c r="M7" s="9"/>
      <c r="N7" s="9"/>
      <c r="O7" s="9"/>
    </row>
    <row r="8" spans="1:15" x14ac:dyDescent="0.35">
      <c r="A8" s="11" t="s">
        <v>386</v>
      </c>
      <c r="B8" s="9" t="s">
        <v>390</v>
      </c>
      <c r="C8" s="9" t="s">
        <v>391</v>
      </c>
      <c r="D8" s="9" t="s">
        <v>392</v>
      </c>
      <c r="E8" s="9" t="s">
        <v>393</v>
      </c>
      <c r="F8" s="9" t="s">
        <v>394</v>
      </c>
      <c r="G8" s="9"/>
      <c r="H8" s="9"/>
      <c r="I8" s="9"/>
      <c r="J8" s="9"/>
      <c r="K8" s="9"/>
      <c r="L8" s="9"/>
      <c r="M8" s="9"/>
      <c r="N8" s="9"/>
      <c r="O8" s="9"/>
    </row>
    <row r="9" spans="1:15" x14ac:dyDescent="0.35">
      <c r="A9" s="8" t="s">
        <v>554</v>
      </c>
      <c r="B9" s="15">
        <v>0.8</v>
      </c>
      <c r="C9" s="15">
        <v>0.79</v>
      </c>
      <c r="D9" s="15">
        <v>0.7</v>
      </c>
      <c r="E9" s="15">
        <v>0.65</v>
      </c>
      <c r="F9" s="15">
        <v>0.63</v>
      </c>
      <c r="G9" s="15"/>
      <c r="H9" s="15"/>
      <c r="I9" s="15"/>
      <c r="J9" s="15"/>
      <c r="K9" s="15"/>
      <c r="L9" s="15"/>
      <c r="M9" s="15"/>
      <c r="N9" s="15"/>
      <c r="O9" s="15"/>
    </row>
    <row r="10" spans="1:15" x14ac:dyDescent="0.35">
      <c r="A10" s="11" t="s">
        <v>484</v>
      </c>
      <c r="B10" s="16">
        <v>0.33</v>
      </c>
      <c r="C10" s="16">
        <v>0.34</v>
      </c>
      <c r="D10" s="16">
        <v>0.3</v>
      </c>
      <c r="E10" s="16">
        <v>0.31</v>
      </c>
      <c r="F10" s="16">
        <v>0.2</v>
      </c>
      <c r="G10" s="16"/>
      <c r="H10" s="16"/>
      <c r="I10" s="16"/>
      <c r="J10" s="16"/>
      <c r="K10" s="16"/>
      <c r="L10" s="16"/>
      <c r="M10" s="16"/>
      <c r="N10" s="16"/>
      <c r="O10" s="16"/>
    </row>
    <row r="11" spans="1:15" x14ac:dyDescent="0.35">
      <c r="A11" s="11" t="s">
        <v>483</v>
      </c>
      <c r="B11" s="16">
        <v>0.27</v>
      </c>
      <c r="C11" s="16">
        <v>0.24</v>
      </c>
      <c r="D11" s="16">
        <v>0.26</v>
      </c>
      <c r="E11" s="16">
        <v>0.15</v>
      </c>
      <c r="F11" s="16">
        <v>7.0000000000000007E-2</v>
      </c>
      <c r="G11" s="16"/>
      <c r="H11" s="16"/>
      <c r="I11" s="16"/>
      <c r="J11" s="16"/>
      <c r="K11" s="16"/>
      <c r="L11" s="16"/>
      <c r="M11" s="16"/>
      <c r="N11" s="16"/>
      <c r="O11" s="16"/>
    </row>
    <row r="12" spans="1:15" x14ac:dyDescent="0.35">
      <c r="A12" s="11" t="s">
        <v>482</v>
      </c>
      <c r="B12" s="16">
        <v>0.24</v>
      </c>
      <c r="C12" s="16">
        <v>0.22</v>
      </c>
      <c r="D12" s="16">
        <v>0.16</v>
      </c>
      <c r="E12" s="16">
        <v>0.16</v>
      </c>
      <c r="F12" s="16">
        <v>0.14000000000000001</v>
      </c>
      <c r="G12" s="16"/>
      <c r="H12" s="16"/>
      <c r="I12" s="16"/>
      <c r="J12" s="16"/>
      <c r="K12" s="16"/>
      <c r="L12" s="16"/>
      <c r="M12" s="16"/>
      <c r="N12" s="16"/>
      <c r="O12" s="16"/>
    </row>
    <row r="13" spans="1:15" x14ac:dyDescent="0.35">
      <c r="A13" s="11" t="s">
        <v>395</v>
      </c>
      <c r="B13" s="16">
        <v>0.35</v>
      </c>
      <c r="C13" s="16">
        <v>0.34</v>
      </c>
      <c r="D13" s="16">
        <v>0.3</v>
      </c>
      <c r="E13" s="16">
        <v>0.28999999999999998</v>
      </c>
      <c r="F13" s="16">
        <v>0.22</v>
      </c>
      <c r="G13" s="16"/>
      <c r="H13" s="16"/>
      <c r="I13" s="16"/>
      <c r="J13" s="16"/>
      <c r="K13" s="16"/>
      <c r="L13" s="16"/>
      <c r="M13" s="16"/>
      <c r="N13" s="16"/>
      <c r="O13" s="16"/>
    </row>
    <row r="14" spans="1:15" ht="30" customHeight="1" x14ac:dyDescent="0.4">
      <c r="A14" s="5" t="s">
        <v>127</v>
      </c>
      <c r="B14" s="16"/>
      <c r="C14" s="16"/>
      <c r="D14" s="16"/>
      <c r="E14" s="16"/>
      <c r="F14" s="16"/>
      <c r="G14" s="16"/>
      <c r="H14" s="16"/>
      <c r="I14" s="16"/>
      <c r="J14" s="16"/>
      <c r="K14" s="16"/>
      <c r="L14" s="16"/>
      <c r="M14" s="16"/>
      <c r="N14" s="16"/>
      <c r="O14" s="16"/>
    </row>
    <row r="15" spans="1:15" x14ac:dyDescent="0.35">
      <c r="A15" s="11" t="s">
        <v>386</v>
      </c>
      <c r="B15" s="16" t="s">
        <v>390</v>
      </c>
      <c r="C15" s="16" t="s">
        <v>391</v>
      </c>
      <c r="D15" s="16" t="s">
        <v>392</v>
      </c>
      <c r="E15" s="16" t="s">
        <v>393</v>
      </c>
      <c r="F15" s="16" t="s">
        <v>394</v>
      </c>
      <c r="G15" s="16"/>
      <c r="H15" s="16"/>
      <c r="I15" s="16"/>
      <c r="J15" s="16"/>
      <c r="K15" s="16"/>
      <c r="L15" s="16"/>
      <c r="M15" s="16"/>
      <c r="N15" s="16"/>
      <c r="O15" s="16"/>
    </row>
    <row r="16" spans="1:15" x14ac:dyDescent="0.35">
      <c r="A16" s="8" t="s">
        <v>554</v>
      </c>
      <c r="B16" s="15">
        <v>0.26</v>
      </c>
      <c r="C16" s="15">
        <v>0.25</v>
      </c>
      <c r="D16" s="15">
        <v>0.28000000000000003</v>
      </c>
      <c r="E16" s="15">
        <v>0.26</v>
      </c>
      <c r="F16" s="15">
        <v>0.35</v>
      </c>
      <c r="G16" s="15"/>
      <c r="H16" s="15"/>
      <c r="I16" s="15"/>
      <c r="J16" s="15"/>
      <c r="K16" s="15"/>
      <c r="L16" s="15"/>
      <c r="M16" s="15"/>
      <c r="N16" s="15"/>
      <c r="O16" s="15"/>
    </row>
    <row r="17" spans="1:15" x14ac:dyDescent="0.35">
      <c r="A17" s="11" t="s">
        <v>484</v>
      </c>
      <c r="B17" s="16">
        <v>0.46</v>
      </c>
      <c r="C17" s="16">
        <v>0.49</v>
      </c>
      <c r="D17" s="16">
        <v>0.51</v>
      </c>
      <c r="E17" s="16">
        <v>0.55000000000000004</v>
      </c>
      <c r="F17" s="16">
        <v>0.43</v>
      </c>
      <c r="G17" s="16"/>
      <c r="H17" s="16"/>
      <c r="I17" s="16"/>
      <c r="J17" s="16"/>
      <c r="K17" s="16"/>
      <c r="L17" s="16"/>
      <c r="M17" s="16"/>
      <c r="N17" s="16"/>
      <c r="O17" s="16"/>
    </row>
    <row r="18" spans="1:15" x14ac:dyDescent="0.35">
      <c r="A18" s="11" t="s">
        <v>483</v>
      </c>
      <c r="B18" s="16">
        <v>0.05</v>
      </c>
      <c r="C18" s="16">
        <v>0.04</v>
      </c>
      <c r="D18" s="16">
        <v>0.05</v>
      </c>
      <c r="E18" s="16">
        <v>0.03</v>
      </c>
      <c r="F18" s="16">
        <v>0.02</v>
      </c>
      <c r="G18" s="16"/>
      <c r="H18" s="16"/>
      <c r="I18" s="16"/>
      <c r="J18" s="16"/>
      <c r="K18" s="16"/>
      <c r="L18" s="16"/>
      <c r="M18" s="16"/>
      <c r="N18" s="16"/>
      <c r="O18" s="16"/>
    </row>
    <row r="19" spans="1:15" x14ac:dyDescent="0.35">
      <c r="A19" s="11" t="s">
        <v>482</v>
      </c>
      <c r="B19" s="16">
        <v>0.23</v>
      </c>
      <c r="C19" s="16">
        <v>0.22</v>
      </c>
      <c r="D19" s="16">
        <v>0.16</v>
      </c>
      <c r="E19" s="16">
        <v>0.16</v>
      </c>
      <c r="F19" s="16">
        <v>0.2</v>
      </c>
      <c r="G19" s="16"/>
      <c r="H19" s="16"/>
      <c r="I19" s="16"/>
      <c r="J19" s="16"/>
      <c r="K19" s="16"/>
      <c r="L19" s="16"/>
      <c r="M19" s="16"/>
      <c r="N19" s="16"/>
      <c r="O19" s="16"/>
    </row>
    <row r="20" spans="1:15" x14ac:dyDescent="0.35">
      <c r="A20" s="11" t="s">
        <v>395</v>
      </c>
      <c r="B20" s="16">
        <v>1</v>
      </c>
      <c r="C20" s="16">
        <v>1</v>
      </c>
      <c r="D20" s="16">
        <v>1</v>
      </c>
      <c r="E20" s="16">
        <v>1</v>
      </c>
      <c r="F20" s="16">
        <v>1</v>
      </c>
      <c r="G20" s="16"/>
      <c r="H20" s="16"/>
      <c r="I20" s="16"/>
      <c r="J20" s="16"/>
      <c r="K20" s="16"/>
      <c r="L20" s="16"/>
      <c r="M20" s="16"/>
      <c r="N20" s="16"/>
      <c r="O20" s="16"/>
    </row>
    <row r="21" spans="1:15" ht="30" customHeight="1" x14ac:dyDescent="0.4">
      <c r="A21" s="5" t="s">
        <v>128</v>
      </c>
      <c r="B21" s="16"/>
      <c r="C21" s="16"/>
      <c r="D21" s="16"/>
      <c r="E21" s="16"/>
      <c r="F21" s="16"/>
      <c r="G21" s="16"/>
      <c r="H21" s="16"/>
      <c r="I21" s="16"/>
      <c r="J21" s="16"/>
      <c r="K21" s="16"/>
      <c r="L21" s="16"/>
      <c r="M21" s="16"/>
      <c r="N21" s="16"/>
      <c r="O21" s="16"/>
    </row>
    <row r="22" spans="1:15" x14ac:dyDescent="0.35">
      <c r="A22" s="11" t="s">
        <v>386</v>
      </c>
      <c r="B22" s="16" t="s">
        <v>390</v>
      </c>
      <c r="C22" s="16" t="s">
        <v>391</v>
      </c>
      <c r="D22" s="16" t="s">
        <v>392</v>
      </c>
      <c r="E22" s="16" t="s">
        <v>393</v>
      </c>
      <c r="F22" s="16" t="s">
        <v>394</v>
      </c>
      <c r="G22" s="16"/>
      <c r="H22" s="16"/>
      <c r="I22" s="16"/>
      <c r="J22" s="16"/>
      <c r="K22" s="16"/>
      <c r="L22" s="16"/>
      <c r="M22" s="16"/>
      <c r="N22" s="16"/>
      <c r="O22" s="16"/>
    </row>
    <row r="23" spans="1:15" x14ac:dyDescent="0.35">
      <c r="A23" s="8" t="s">
        <v>554</v>
      </c>
      <c r="B23" s="12">
        <v>48</v>
      </c>
      <c r="C23" s="12">
        <v>51</v>
      </c>
      <c r="D23" s="12">
        <v>47</v>
      </c>
      <c r="E23" s="12">
        <v>53</v>
      </c>
      <c r="F23" s="12">
        <v>53</v>
      </c>
      <c r="G23" s="12"/>
      <c r="H23" s="12"/>
      <c r="I23" s="12"/>
      <c r="J23" s="12"/>
      <c r="K23" s="12"/>
      <c r="L23" s="12"/>
      <c r="M23" s="12"/>
      <c r="N23" s="12"/>
      <c r="O23" s="12"/>
    </row>
    <row r="24" spans="1:15" x14ac:dyDescent="0.35">
      <c r="A24" s="11" t="s">
        <v>484</v>
      </c>
      <c r="B24" s="13">
        <v>42</v>
      </c>
      <c r="C24" s="13">
        <v>42</v>
      </c>
      <c r="D24" s="13">
        <v>41</v>
      </c>
      <c r="E24" s="13">
        <v>41</v>
      </c>
      <c r="F24" s="13">
        <v>42</v>
      </c>
      <c r="G24" s="13"/>
      <c r="H24" s="13"/>
      <c r="I24" s="13"/>
      <c r="J24" s="13"/>
      <c r="K24" s="13"/>
      <c r="L24" s="13"/>
      <c r="M24" s="13"/>
      <c r="N24" s="13"/>
      <c r="O24" s="13"/>
    </row>
    <row r="25" spans="1:15" x14ac:dyDescent="0.35">
      <c r="A25" s="11" t="s">
        <v>483</v>
      </c>
      <c r="B25" s="13">
        <v>47</v>
      </c>
      <c r="C25" s="13">
        <v>42</v>
      </c>
      <c r="D25" s="13">
        <v>47</v>
      </c>
      <c r="E25" s="13">
        <v>50</v>
      </c>
      <c r="F25" s="13">
        <v>46</v>
      </c>
      <c r="G25" s="13"/>
      <c r="H25" s="13"/>
      <c r="I25" s="13"/>
      <c r="J25" s="13"/>
      <c r="K25" s="13"/>
      <c r="L25" s="13"/>
      <c r="M25" s="13"/>
      <c r="N25" s="13"/>
      <c r="O25" s="13"/>
    </row>
    <row r="26" spans="1:15" x14ac:dyDescent="0.35">
      <c r="A26" s="11" t="s">
        <v>482</v>
      </c>
      <c r="B26" s="13">
        <v>71</v>
      </c>
      <c r="C26" s="13">
        <v>72</v>
      </c>
      <c r="D26" s="13">
        <v>71</v>
      </c>
      <c r="E26" s="13">
        <v>72</v>
      </c>
      <c r="F26" s="13">
        <v>72</v>
      </c>
      <c r="G26" s="13"/>
      <c r="H26" s="13"/>
      <c r="I26" s="13"/>
      <c r="J26" s="13"/>
      <c r="K26" s="13"/>
      <c r="L26" s="13"/>
      <c r="M26" s="13"/>
      <c r="N26" s="13"/>
      <c r="O26" s="13"/>
    </row>
    <row r="27" spans="1:15" x14ac:dyDescent="0.35">
      <c r="A27" s="11" t="s">
        <v>395</v>
      </c>
      <c r="B27" s="13">
        <v>48</v>
      </c>
      <c r="C27" s="13">
        <v>48</v>
      </c>
      <c r="D27" s="13">
        <v>47</v>
      </c>
      <c r="E27" s="13">
        <v>49</v>
      </c>
      <c r="F27" s="13">
        <v>51</v>
      </c>
      <c r="G27" s="13"/>
      <c r="H27" s="13"/>
      <c r="I27" s="13"/>
      <c r="J27" s="13"/>
      <c r="K27" s="13"/>
      <c r="L27" s="13"/>
      <c r="M27" s="13"/>
      <c r="N27" s="13"/>
      <c r="O27" s="13"/>
    </row>
    <row r="28" spans="1:15" ht="30" customHeight="1" x14ac:dyDescent="0.4">
      <c r="A28" s="5" t="s">
        <v>129</v>
      </c>
      <c r="B28" s="13"/>
      <c r="C28" s="13"/>
      <c r="D28" s="13"/>
      <c r="E28" s="13"/>
      <c r="F28" s="13"/>
      <c r="G28" s="13"/>
      <c r="H28" s="13"/>
      <c r="I28" s="13"/>
      <c r="J28" s="13"/>
      <c r="K28" s="13"/>
      <c r="L28" s="13"/>
      <c r="M28" s="13"/>
      <c r="N28" s="13"/>
      <c r="O28" s="13"/>
    </row>
    <row r="29" spans="1:15" x14ac:dyDescent="0.35">
      <c r="A29" s="11" t="s">
        <v>386</v>
      </c>
      <c r="B29" s="13" t="s">
        <v>390</v>
      </c>
      <c r="C29" s="13" t="s">
        <v>391</v>
      </c>
      <c r="D29" s="13" t="s">
        <v>392</v>
      </c>
      <c r="E29" s="13" t="s">
        <v>393</v>
      </c>
      <c r="F29" s="13" t="s">
        <v>394</v>
      </c>
      <c r="G29" s="13"/>
      <c r="H29" s="13"/>
      <c r="I29" s="13"/>
      <c r="J29" s="13"/>
      <c r="K29" s="13"/>
      <c r="L29" s="13"/>
      <c r="M29" s="13"/>
      <c r="N29" s="13"/>
      <c r="O29" s="13"/>
    </row>
    <row r="30" spans="1:15" x14ac:dyDescent="0.35">
      <c r="A30" s="8" t="s">
        <v>554</v>
      </c>
      <c r="B30" s="12">
        <v>177</v>
      </c>
      <c r="C30" s="12">
        <v>156</v>
      </c>
      <c r="D30" s="12">
        <v>163</v>
      </c>
      <c r="E30" s="12">
        <v>136</v>
      </c>
      <c r="F30" s="12">
        <v>109</v>
      </c>
      <c r="G30" s="12"/>
      <c r="H30" s="12"/>
      <c r="I30" s="12"/>
      <c r="J30" s="12"/>
      <c r="K30" s="12"/>
      <c r="L30" s="12"/>
      <c r="M30" s="12"/>
      <c r="N30" s="12"/>
      <c r="O30" s="12"/>
    </row>
    <row r="31" spans="1:15" x14ac:dyDescent="0.35">
      <c r="A31" s="11" t="s">
        <v>484</v>
      </c>
      <c r="B31" s="13">
        <v>816</v>
      </c>
      <c r="C31" s="13">
        <v>728</v>
      </c>
      <c r="D31" s="13">
        <v>689</v>
      </c>
      <c r="E31" s="13">
        <v>630</v>
      </c>
      <c r="F31" s="13">
        <v>482</v>
      </c>
      <c r="G31" s="13"/>
      <c r="H31" s="13"/>
      <c r="I31" s="13"/>
      <c r="J31" s="13"/>
      <c r="K31" s="13"/>
      <c r="L31" s="13"/>
      <c r="M31" s="13"/>
      <c r="N31" s="13"/>
      <c r="O31" s="13"/>
    </row>
    <row r="32" spans="1:15" x14ac:dyDescent="0.35">
      <c r="A32" s="11" t="s">
        <v>483</v>
      </c>
      <c r="B32" s="13">
        <v>131</v>
      </c>
      <c r="C32" s="13">
        <v>103</v>
      </c>
      <c r="D32" s="13">
        <v>114</v>
      </c>
      <c r="E32" s="13">
        <v>109</v>
      </c>
      <c r="F32" s="13">
        <v>90</v>
      </c>
      <c r="G32" s="13"/>
      <c r="H32" s="13"/>
      <c r="I32" s="13"/>
      <c r="J32" s="13"/>
      <c r="K32" s="13"/>
      <c r="L32" s="13"/>
      <c r="M32" s="13"/>
      <c r="N32" s="13"/>
      <c r="O32" s="13"/>
    </row>
    <row r="33" spans="1:15" x14ac:dyDescent="0.35">
      <c r="A33" s="11" t="s">
        <v>482</v>
      </c>
      <c r="B33" s="13">
        <v>766</v>
      </c>
      <c r="C33" s="13">
        <v>709</v>
      </c>
      <c r="D33" s="13">
        <v>641</v>
      </c>
      <c r="E33" s="13">
        <v>639</v>
      </c>
      <c r="F33" s="13">
        <v>548</v>
      </c>
      <c r="G33" s="13"/>
      <c r="H33" s="13"/>
      <c r="I33" s="13"/>
      <c r="J33" s="13"/>
      <c r="K33" s="13"/>
      <c r="L33" s="13"/>
      <c r="M33" s="13"/>
      <c r="N33" s="13"/>
      <c r="O33" s="13"/>
    </row>
    <row r="34" spans="1:15" x14ac:dyDescent="0.35">
      <c r="A34" s="11" t="s">
        <v>395</v>
      </c>
      <c r="B34" s="13">
        <v>1890</v>
      </c>
      <c r="C34" s="13">
        <v>1696</v>
      </c>
      <c r="D34" s="13">
        <v>1607</v>
      </c>
      <c r="E34" s="13">
        <v>1514</v>
      </c>
      <c r="F34" s="13">
        <v>1229</v>
      </c>
      <c r="G34" s="13"/>
      <c r="H34" s="13"/>
      <c r="I34" s="13"/>
      <c r="J34" s="13"/>
      <c r="K34" s="13"/>
      <c r="L34" s="13"/>
      <c r="M34" s="13"/>
      <c r="N34" s="13"/>
      <c r="O34" s="13"/>
    </row>
    <row r="35" spans="1:15" x14ac:dyDescent="0.35">
      <c r="A35" s="11"/>
      <c r="B35" s="13"/>
      <c r="C35" s="13"/>
      <c r="D35" s="13"/>
      <c r="E35" s="13"/>
      <c r="F35" s="13"/>
      <c r="G35" s="13"/>
      <c r="H35" s="13"/>
      <c r="I35" s="13"/>
      <c r="J35" s="13"/>
      <c r="K35" s="13"/>
      <c r="L35" s="13"/>
      <c r="M35" s="13"/>
      <c r="N35" s="13"/>
      <c r="O35" s="13"/>
    </row>
    <row r="36" spans="1:15" x14ac:dyDescent="0.35">
      <c r="A36" s="11"/>
      <c r="B36" s="13"/>
      <c r="C36" s="13"/>
      <c r="D36" s="13"/>
      <c r="E36" s="13"/>
      <c r="F36" s="13"/>
      <c r="G36" s="13"/>
      <c r="H36" s="13"/>
      <c r="I36" s="13"/>
      <c r="J36" s="13"/>
      <c r="K36" s="13"/>
      <c r="L36" s="13"/>
      <c r="M36" s="13"/>
      <c r="N36" s="13"/>
      <c r="O36" s="13"/>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136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135</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532</v>
      </c>
      <c r="B8" s="15">
        <v>0.69</v>
      </c>
      <c r="C8" s="15">
        <v>0.7</v>
      </c>
      <c r="D8" s="15">
        <v>0.69</v>
      </c>
      <c r="E8" s="15">
        <v>0.72</v>
      </c>
      <c r="F8" s="15">
        <v>0.69</v>
      </c>
      <c r="G8" s="15">
        <v>0.66</v>
      </c>
      <c r="H8" s="15">
        <v>0.62</v>
      </c>
      <c r="I8" s="15">
        <v>0.49</v>
      </c>
      <c r="J8" s="15"/>
      <c r="K8" s="15"/>
      <c r="L8" s="15"/>
      <c r="M8" s="15"/>
      <c r="N8" s="15"/>
      <c r="O8" s="15"/>
    </row>
    <row r="9" spans="1:15" x14ac:dyDescent="0.35">
      <c r="A9" s="11" t="s">
        <v>531</v>
      </c>
      <c r="B9" s="16">
        <v>0.44</v>
      </c>
      <c r="C9" s="16">
        <v>0.37</v>
      </c>
      <c r="D9" s="16">
        <v>0.41</v>
      </c>
      <c r="E9" s="16">
        <v>0.47</v>
      </c>
      <c r="F9" s="16">
        <v>0.5</v>
      </c>
      <c r="G9" s="16">
        <v>0.39</v>
      </c>
      <c r="H9" s="16">
        <v>0.4</v>
      </c>
      <c r="I9" s="16">
        <v>0.26</v>
      </c>
      <c r="J9" s="16"/>
      <c r="K9" s="16"/>
      <c r="L9" s="16"/>
      <c r="M9" s="16"/>
      <c r="N9" s="16"/>
      <c r="O9" s="16"/>
    </row>
    <row r="10" spans="1:15" x14ac:dyDescent="0.35">
      <c r="A10" s="11" t="s">
        <v>530</v>
      </c>
      <c r="B10" s="16">
        <v>0.28999999999999998</v>
      </c>
      <c r="C10" s="16">
        <v>0.26</v>
      </c>
      <c r="D10" s="16">
        <v>0.26</v>
      </c>
      <c r="E10" s="16">
        <v>0.28000000000000003</v>
      </c>
      <c r="F10" s="16">
        <v>0.31</v>
      </c>
      <c r="G10" s="16">
        <v>0.25</v>
      </c>
      <c r="H10" s="16">
        <v>0.23</v>
      </c>
      <c r="I10" s="16">
        <v>0.14000000000000001</v>
      </c>
      <c r="J10" s="16"/>
      <c r="K10" s="16"/>
      <c r="L10" s="16"/>
      <c r="M10" s="16"/>
      <c r="N10" s="16"/>
      <c r="O10" s="16"/>
    </row>
    <row r="11" spans="1:15" x14ac:dyDescent="0.35">
      <c r="A11" s="11" t="s">
        <v>529</v>
      </c>
      <c r="B11" s="16">
        <v>0.13</v>
      </c>
      <c r="C11" s="16">
        <v>0.08</v>
      </c>
      <c r="D11" s="16">
        <v>0.1</v>
      </c>
      <c r="E11" s="16">
        <v>0.1</v>
      </c>
      <c r="F11" s="16">
        <v>0.09</v>
      </c>
      <c r="G11" s="16">
        <v>0.08</v>
      </c>
      <c r="H11" s="16">
        <v>0.08</v>
      </c>
      <c r="I11" s="16">
        <v>0.06</v>
      </c>
      <c r="J11" s="16"/>
      <c r="K11" s="16"/>
      <c r="L11" s="16"/>
      <c r="M11" s="16"/>
      <c r="N11" s="16"/>
      <c r="O11" s="16"/>
    </row>
    <row r="12" spans="1:15" x14ac:dyDescent="0.35">
      <c r="A12" s="11" t="s">
        <v>395</v>
      </c>
      <c r="B12" s="16">
        <v>0.36</v>
      </c>
      <c r="C12" s="16">
        <v>0.33</v>
      </c>
      <c r="D12" s="16">
        <v>0.33</v>
      </c>
      <c r="E12" s="16">
        <v>0.35</v>
      </c>
      <c r="F12" s="16">
        <v>0.34</v>
      </c>
      <c r="G12" s="16">
        <v>0.3</v>
      </c>
      <c r="H12" s="16">
        <v>0.28999999999999998</v>
      </c>
      <c r="I12" s="16">
        <v>0.22</v>
      </c>
      <c r="J12" s="16"/>
      <c r="K12" s="16"/>
      <c r="L12" s="16"/>
      <c r="M12" s="16"/>
      <c r="N12" s="16"/>
      <c r="O12" s="16"/>
    </row>
    <row r="13" spans="1:15" ht="30" customHeight="1" x14ac:dyDescent="0.4">
      <c r="A13" s="5" t="s">
        <v>132</v>
      </c>
      <c r="B13" s="16"/>
      <c r="C13" s="16"/>
      <c r="D13" s="16"/>
      <c r="E13" s="16"/>
      <c r="F13" s="16"/>
      <c r="G13" s="16"/>
      <c r="H13" s="16"/>
      <c r="I13" s="16"/>
      <c r="J13" s="16"/>
      <c r="K13" s="16"/>
      <c r="L13" s="16"/>
      <c r="M13" s="16"/>
      <c r="N13" s="16"/>
      <c r="O13" s="16"/>
    </row>
    <row r="14" spans="1:15" x14ac:dyDescent="0.35">
      <c r="A14" s="11" t="s">
        <v>386</v>
      </c>
      <c r="B14" s="16" t="s">
        <v>387</v>
      </c>
      <c r="C14" s="16" t="s">
        <v>388</v>
      </c>
      <c r="D14" s="16" t="s">
        <v>389</v>
      </c>
      <c r="E14" s="16" t="s">
        <v>390</v>
      </c>
      <c r="F14" s="16" t="s">
        <v>391</v>
      </c>
      <c r="G14" s="16" t="s">
        <v>392</v>
      </c>
      <c r="H14" s="16" t="s">
        <v>393</v>
      </c>
      <c r="I14" s="16" t="s">
        <v>394</v>
      </c>
      <c r="J14" s="16"/>
      <c r="K14" s="16"/>
      <c r="L14" s="16"/>
      <c r="M14" s="16"/>
      <c r="N14" s="16"/>
      <c r="O14" s="16"/>
    </row>
    <row r="15" spans="1:15" x14ac:dyDescent="0.35">
      <c r="A15" s="8" t="s">
        <v>532</v>
      </c>
      <c r="B15" s="15">
        <v>0.47</v>
      </c>
      <c r="C15" s="15">
        <v>0.52</v>
      </c>
      <c r="D15" s="15">
        <v>0.5</v>
      </c>
      <c r="E15" s="15">
        <v>0.49</v>
      </c>
      <c r="F15" s="15">
        <v>0.46</v>
      </c>
      <c r="G15" s="15">
        <v>0.46</v>
      </c>
      <c r="H15" s="15">
        <v>0.51</v>
      </c>
      <c r="I15" s="15">
        <v>0.56999999999999995</v>
      </c>
      <c r="J15" s="15"/>
      <c r="K15" s="15"/>
      <c r="L15" s="15"/>
      <c r="M15" s="15"/>
      <c r="N15" s="15"/>
      <c r="O15" s="15"/>
    </row>
    <row r="16" spans="1:15" x14ac:dyDescent="0.35">
      <c r="A16" s="11" t="s">
        <v>531</v>
      </c>
      <c r="B16" s="16">
        <v>0.13</v>
      </c>
      <c r="C16" s="16">
        <v>0.12</v>
      </c>
      <c r="D16" s="16">
        <v>0.15</v>
      </c>
      <c r="E16" s="16">
        <v>0.16</v>
      </c>
      <c r="F16" s="16">
        <v>0.17</v>
      </c>
      <c r="G16" s="16">
        <v>0.18</v>
      </c>
      <c r="H16" s="16">
        <v>0.16</v>
      </c>
      <c r="I16" s="16">
        <v>0.16</v>
      </c>
      <c r="J16" s="16"/>
      <c r="K16" s="16"/>
      <c r="L16" s="16"/>
      <c r="M16" s="16"/>
      <c r="N16" s="16"/>
      <c r="O16" s="16"/>
    </row>
    <row r="17" spans="1:15" x14ac:dyDescent="0.35">
      <c r="A17" s="11" t="s">
        <v>530</v>
      </c>
      <c r="B17" s="16">
        <v>0.3</v>
      </c>
      <c r="C17" s="16">
        <v>0.28999999999999998</v>
      </c>
      <c r="D17" s="16">
        <v>0.26</v>
      </c>
      <c r="E17" s="16">
        <v>0.26</v>
      </c>
      <c r="F17" s="16">
        <v>0.28000000000000003</v>
      </c>
      <c r="G17" s="16">
        <v>0.27</v>
      </c>
      <c r="H17" s="16">
        <v>0.24</v>
      </c>
      <c r="I17" s="16">
        <v>0.17</v>
      </c>
      <c r="J17" s="16"/>
      <c r="K17" s="16"/>
      <c r="L17" s="16"/>
      <c r="M17" s="16"/>
      <c r="N17" s="16"/>
      <c r="O17" s="16"/>
    </row>
    <row r="18" spans="1:15" x14ac:dyDescent="0.35">
      <c r="A18" s="11" t="s">
        <v>529</v>
      </c>
      <c r="B18" s="16">
        <v>0.1</v>
      </c>
      <c r="C18" s="16">
        <v>7.0000000000000007E-2</v>
      </c>
      <c r="D18" s="16">
        <v>0.09</v>
      </c>
      <c r="E18" s="16">
        <v>0.09</v>
      </c>
      <c r="F18" s="16">
        <v>0.09</v>
      </c>
      <c r="G18" s="16">
        <v>0.09</v>
      </c>
      <c r="H18" s="16">
        <v>0.1</v>
      </c>
      <c r="I18" s="16">
        <v>0.1</v>
      </c>
      <c r="J18" s="16"/>
      <c r="K18" s="16"/>
      <c r="L18" s="16"/>
      <c r="M18" s="16"/>
      <c r="N18" s="16"/>
      <c r="O18" s="16"/>
    </row>
    <row r="19" spans="1:15" x14ac:dyDescent="0.35">
      <c r="A19" s="11" t="s">
        <v>395</v>
      </c>
      <c r="B19" s="16">
        <v>1</v>
      </c>
      <c r="C19" s="16">
        <v>1</v>
      </c>
      <c r="D19" s="16">
        <v>1</v>
      </c>
      <c r="E19" s="16">
        <v>1</v>
      </c>
      <c r="F19" s="16">
        <v>1</v>
      </c>
      <c r="G19" s="16">
        <v>1</v>
      </c>
      <c r="H19" s="16">
        <v>1</v>
      </c>
      <c r="I19" s="16">
        <v>1</v>
      </c>
      <c r="J19" s="16"/>
      <c r="K19" s="16"/>
      <c r="L19" s="16"/>
      <c r="M19" s="16"/>
      <c r="N19" s="16"/>
      <c r="O19" s="16"/>
    </row>
    <row r="20" spans="1:15" ht="30" customHeight="1" x14ac:dyDescent="0.4">
      <c r="A20" s="5" t="s">
        <v>133</v>
      </c>
      <c r="B20" s="16"/>
      <c r="C20" s="16"/>
      <c r="D20" s="16"/>
      <c r="E20" s="16"/>
      <c r="F20" s="16"/>
      <c r="G20" s="16"/>
      <c r="H20" s="16"/>
      <c r="I20" s="16"/>
      <c r="J20" s="16"/>
      <c r="K20" s="16"/>
      <c r="L20" s="16"/>
      <c r="M20" s="16"/>
      <c r="N20" s="16"/>
      <c r="O20" s="16"/>
    </row>
    <row r="21" spans="1:15" x14ac:dyDescent="0.35">
      <c r="A21" s="11" t="s">
        <v>386</v>
      </c>
      <c r="B21" s="16" t="s">
        <v>387</v>
      </c>
      <c r="C21" s="16" t="s">
        <v>388</v>
      </c>
      <c r="D21" s="16" t="s">
        <v>389</v>
      </c>
      <c r="E21" s="16" t="s">
        <v>390</v>
      </c>
      <c r="F21" s="16" t="s">
        <v>391</v>
      </c>
      <c r="G21" s="16" t="s">
        <v>392</v>
      </c>
      <c r="H21" s="16" t="s">
        <v>393</v>
      </c>
      <c r="I21" s="16" t="s">
        <v>394</v>
      </c>
      <c r="J21" s="16"/>
      <c r="K21" s="16"/>
      <c r="L21" s="16"/>
      <c r="M21" s="16"/>
      <c r="N21" s="16"/>
      <c r="O21" s="16"/>
    </row>
    <row r="22" spans="1:15" x14ac:dyDescent="0.35">
      <c r="A22" s="8" t="s">
        <v>532</v>
      </c>
      <c r="B22" s="12">
        <v>47</v>
      </c>
      <c r="C22" s="12">
        <v>49</v>
      </c>
      <c r="D22" s="12">
        <v>49</v>
      </c>
      <c r="E22" s="12">
        <v>54</v>
      </c>
      <c r="F22" s="12">
        <v>54</v>
      </c>
      <c r="G22" s="12">
        <v>52</v>
      </c>
      <c r="H22" s="12">
        <v>53</v>
      </c>
      <c r="I22" s="12">
        <v>53</v>
      </c>
      <c r="J22" s="12"/>
      <c r="K22" s="12"/>
      <c r="L22" s="12"/>
      <c r="M22" s="12"/>
      <c r="N22" s="12"/>
      <c r="O22" s="12"/>
    </row>
    <row r="23" spans="1:15" x14ac:dyDescent="0.35">
      <c r="A23" s="11" t="s">
        <v>531</v>
      </c>
      <c r="B23" s="13">
        <v>34</v>
      </c>
      <c r="C23" s="13">
        <v>36</v>
      </c>
      <c r="D23" s="13">
        <v>34</v>
      </c>
      <c r="E23" s="13">
        <v>33</v>
      </c>
      <c r="F23" s="13">
        <v>38</v>
      </c>
      <c r="G23" s="13">
        <v>36</v>
      </c>
      <c r="H23" s="13">
        <v>37</v>
      </c>
      <c r="I23" s="13">
        <v>42</v>
      </c>
      <c r="J23" s="13"/>
      <c r="K23" s="13"/>
      <c r="L23" s="13"/>
      <c r="M23" s="13"/>
      <c r="N23" s="13"/>
      <c r="O23" s="13"/>
    </row>
    <row r="24" spans="1:15" x14ac:dyDescent="0.35">
      <c r="A24" s="11" t="s">
        <v>530</v>
      </c>
      <c r="B24" s="13">
        <v>43</v>
      </c>
      <c r="C24" s="13">
        <v>42</v>
      </c>
      <c r="D24" s="13">
        <v>43</v>
      </c>
      <c r="E24" s="13">
        <v>43</v>
      </c>
      <c r="F24" s="13">
        <v>44</v>
      </c>
      <c r="G24" s="13">
        <v>44</v>
      </c>
      <c r="H24" s="13">
        <v>42</v>
      </c>
      <c r="I24" s="13">
        <v>41</v>
      </c>
      <c r="J24" s="13"/>
      <c r="K24" s="13"/>
      <c r="L24" s="13"/>
      <c r="M24" s="13"/>
      <c r="N24" s="13"/>
      <c r="O24" s="13"/>
    </row>
    <row r="25" spans="1:15" x14ac:dyDescent="0.35">
      <c r="A25" s="11" t="s">
        <v>529</v>
      </c>
      <c r="B25" s="13">
        <v>65</v>
      </c>
      <c r="C25" s="13">
        <v>66</v>
      </c>
      <c r="D25" s="13">
        <v>68</v>
      </c>
      <c r="E25" s="13">
        <v>66</v>
      </c>
      <c r="F25" s="13">
        <v>67</v>
      </c>
      <c r="G25" s="13">
        <v>60</v>
      </c>
      <c r="H25" s="13">
        <v>67</v>
      </c>
      <c r="I25" s="13">
        <v>63</v>
      </c>
      <c r="J25" s="13"/>
      <c r="K25" s="13"/>
      <c r="L25" s="13"/>
      <c r="M25" s="13"/>
      <c r="N25" s="13"/>
      <c r="O25" s="13"/>
    </row>
    <row r="26" spans="1:15" x14ac:dyDescent="0.35">
      <c r="A26" s="11" t="s">
        <v>395</v>
      </c>
      <c r="B26" s="13">
        <v>45</v>
      </c>
      <c r="C26" s="13">
        <v>45</v>
      </c>
      <c r="D26" s="13">
        <v>46</v>
      </c>
      <c r="E26" s="13">
        <v>48</v>
      </c>
      <c r="F26" s="13">
        <v>48</v>
      </c>
      <c r="G26" s="13">
        <v>47</v>
      </c>
      <c r="H26" s="13">
        <v>49</v>
      </c>
      <c r="I26" s="13">
        <v>51</v>
      </c>
      <c r="J26" s="13"/>
      <c r="K26" s="13"/>
      <c r="L26" s="13"/>
      <c r="M26" s="13"/>
      <c r="N26" s="13"/>
      <c r="O26" s="13"/>
    </row>
    <row r="27" spans="1:15" ht="30" customHeight="1" x14ac:dyDescent="0.4">
      <c r="A27" s="5" t="s">
        <v>134</v>
      </c>
      <c r="B27" s="13"/>
      <c r="C27" s="13"/>
      <c r="D27" s="13"/>
      <c r="E27" s="13"/>
      <c r="F27" s="13"/>
      <c r="G27" s="13"/>
      <c r="H27" s="13"/>
      <c r="I27" s="13"/>
      <c r="J27" s="13"/>
      <c r="K27" s="13"/>
      <c r="L27" s="13"/>
      <c r="M27" s="13"/>
      <c r="N27" s="13"/>
      <c r="O27" s="13"/>
    </row>
    <row r="28" spans="1:15" x14ac:dyDescent="0.35">
      <c r="A28" s="11" t="s">
        <v>386</v>
      </c>
      <c r="B28" s="13" t="s">
        <v>387</v>
      </c>
      <c r="C28" s="13" t="s">
        <v>388</v>
      </c>
      <c r="D28" s="13" t="s">
        <v>389</v>
      </c>
      <c r="E28" s="13" t="s">
        <v>390</v>
      </c>
      <c r="F28" s="13" t="s">
        <v>391</v>
      </c>
      <c r="G28" s="13" t="s">
        <v>392</v>
      </c>
      <c r="H28" s="13" t="s">
        <v>393</v>
      </c>
      <c r="I28" s="13" t="s">
        <v>394</v>
      </c>
      <c r="J28" s="13"/>
      <c r="K28" s="13"/>
      <c r="L28" s="13"/>
      <c r="M28" s="13"/>
      <c r="N28" s="13"/>
      <c r="O28" s="13"/>
    </row>
    <row r="29" spans="1:15" x14ac:dyDescent="0.35">
      <c r="A29" s="8" t="s">
        <v>532</v>
      </c>
      <c r="B29" s="12">
        <v>675</v>
      </c>
      <c r="C29" s="12">
        <v>452</v>
      </c>
      <c r="D29" s="12">
        <v>449</v>
      </c>
      <c r="E29" s="12">
        <v>404</v>
      </c>
      <c r="F29" s="12">
        <v>349</v>
      </c>
      <c r="G29" s="12">
        <v>309</v>
      </c>
      <c r="H29" s="12">
        <v>295</v>
      </c>
      <c r="I29" s="12">
        <v>193</v>
      </c>
      <c r="J29" s="12"/>
      <c r="K29" s="12"/>
      <c r="L29" s="12"/>
      <c r="M29" s="12"/>
      <c r="N29" s="12"/>
      <c r="O29" s="12"/>
    </row>
    <row r="30" spans="1:15" x14ac:dyDescent="0.35">
      <c r="A30" s="11" t="s">
        <v>531</v>
      </c>
      <c r="B30" s="13">
        <v>271</v>
      </c>
      <c r="C30" s="13">
        <v>153</v>
      </c>
      <c r="D30" s="13">
        <v>194</v>
      </c>
      <c r="E30" s="13">
        <v>156</v>
      </c>
      <c r="F30" s="13">
        <v>143</v>
      </c>
      <c r="G30" s="13">
        <v>148</v>
      </c>
      <c r="H30" s="13">
        <v>118</v>
      </c>
      <c r="I30" s="13">
        <v>87</v>
      </c>
      <c r="J30" s="13"/>
      <c r="K30" s="13"/>
      <c r="L30" s="13"/>
      <c r="M30" s="13"/>
      <c r="N30" s="13"/>
      <c r="O30" s="13"/>
    </row>
    <row r="31" spans="1:15" x14ac:dyDescent="0.35">
      <c r="A31" s="11" t="s">
        <v>530</v>
      </c>
      <c r="B31" s="13">
        <v>988</v>
      </c>
      <c r="C31" s="13">
        <v>677</v>
      </c>
      <c r="D31" s="13">
        <v>634</v>
      </c>
      <c r="E31" s="13">
        <v>537</v>
      </c>
      <c r="F31" s="13">
        <v>446</v>
      </c>
      <c r="G31" s="13">
        <v>428</v>
      </c>
      <c r="H31" s="13">
        <v>373</v>
      </c>
      <c r="I31" s="13">
        <v>283</v>
      </c>
      <c r="J31" s="13"/>
      <c r="K31" s="13"/>
      <c r="L31" s="13"/>
      <c r="M31" s="13"/>
      <c r="N31" s="13"/>
      <c r="O31" s="13"/>
    </row>
    <row r="32" spans="1:15" x14ac:dyDescent="0.35">
      <c r="A32" s="11" t="s">
        <v>529</v>
      </c>
      <c r="B32" s="13">
        <v>899</v>
      </c>
      <c r="C32" s="13">
        <v>713</v>
      </c>
      <c r="D32" s="13">
        <v>791</v>
      </c>
      <c r="E32" s="13">
        <v>793</v>
      </c>
      <c r="F32" s="13">
        <v>758</v>
      </c>
      <c r="G32" s="13">
        <v>722</v>
      </c>
      <c r="H32" s="13">
        <v>728</v>
      </c>
      <c r="I32" s="13">
        <v>666</v>
      </c>
      <c r="J32" s="13"/>
      <c r="K32" s="13"/>
      <c r="L32" s="13"/>
      <c r="M32" s="13"/>
      <c r="N32" s="13"/>
      <c r="O32" s="13"/>
    </row>
    <row r="33" spans="1:15" x14ac:dyDescent="0.35">
      <c r="A33" s="11" t="s">
        <v>395</v>
      </c>
      <c r="B33" s="13">
        <v>2833</v>
      </c>
      <c r="C33" s="13">
        <v>1995</v>
      </c>
      <c r="D33" s="13">
        <v>2068</v>
      </c>
      <c r="E33" s="13">
        <v>1890</v>
      </c>
      <c r="F33" s="13">
        <v>1696</v>
      </c>
      <c r="G33" s="13">
        <v>1607</v>
      </c>
      <c r="H33" s="13">
        <v>1514</v>
      </c>
      <c r="I33" s="13">
        <v>1229</v>
      </c>
      <c r="J33" s="13"/>
      <c r="K33" s="13"/>
      <c r="L33" s="13"/>
      <c r="M33" s="13"/>
      <c r="N33" s="13"/>
      <c r="O33" s="13"/>
    </row>
    <row r="34" spans="1:15" x14ac:dyDescent="0.35">
      <c r="A34" s="11"/>
      <c r="B34" s="13"/>
      <c r="C34" s="13"/>
      <c r="D34" s="13"/>
      <c r="E34" s="13"/>
      <c r="F34" s="13"/>
      <c r="G34" s="13"/>
      <c r="H34" s="13"/>
      <c r="I34" s="13"/>
      <c r="J34" s="13"/>
      <c r="K34" s="13"/>
      <c r="L34" s="13"/>
      <c r="M34" s="13"/>
      <c r="N34" s="13"/>
      <c r="O34" s="13"/>
    </row>
    <row r="35" spans="1:15" x14ac:dyDescent="0.35">
      <c r="A35" s="11"/>
      <c r="B35" s="13"/>
      <c r="C35" s="13"/>
      <c r="D35" s="13"/>
      <c r="E35" s="13"/>
      <c r="F35" s="13"/>
      <c r="G35" s="13"/>
      <c r="H35" s="13"/>
      <c r="I35" s="13"/>
      <c r="J35" s="13"/>
      <c r="K35" s="13"/>
      <c r="L35" s="13"/>
      <c r="M35" s="13"/>
      <c r="N35" s="13"/>
      <c r="O35" s="13"/>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141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140</v>
      </c>
      <c r="B6" s="9"/>
      <c r="C6" s="9"/>
      <c r="D6" s="9"/>
      <c r="E6" s="9"/>
      <c r="F6" s="9"/>
      <c r="G6" s="9"/>
      <c r="H6" s="9"/>
      <c r="I6" s="9"/>
      <c r="J6" s="9"/>
      <c r="K6" s="9"/>
      <c r="L6" s="9"/>
      <c r="M6" s="9"/>
      <c r="N6" s="9"/>
      <c r="O6" s="9"/>
    </row>
    <row r="7" spans="1:15" x14ac:dyDescent="0.35">
      <c r="A7" s="11" t="s">
        <v>386</v>
      </c>
      <c r="B7" s="9" t="s">
        <v>391</v>
      </c>
      <c r="C7" s="9" t="s">
        <v>392</v>
      </c>
      <c r="D7" s="9" t="s">
        <v>393</v>
      </c>
      <c r="E7" s="9" t="s">
        <v>394</v>
      </c>
      <c r="F7" s="9"/>
      <c r="G7" s="9"/>
      <c r="H7" s="9"/>
      <c r="I7" s="9"/>
      <c r="J7" s="9"/>
      <c r="K7" s="9"/>
      <c r="L7" s="9"/>
      <c r="M7" s="9"/>
      <c r="N7" s="9"/>
      <c r="O7" s="9"/>
    </row>
    <row r="8" spans="1:15" x14ac:dyDescent="0.35">
      <c r="A8" s="8" t="s">
        <v>521</v>
      </c>
      <c r="B8" s="15">
        <v>0.61</v>
      </c>
      <c r="C8" s="15">
        <v>0.47</v>
      </c>
      <c r="D8" s="15">
        <v>0.49</v>
      </c>
      <c r="E8" s="15">
        <v>0.4</v>
      </c>
      <c r="F8" s="15"/>
      <c r="G8" s="15"/>
      <c r="H8" s="15"/>
      <c r="I8" s="15"/>
      <c r="J8" s="15"/>
      <c r="K8" s="15"/>
      <c r="L8" s="15"/>
      <c r="M8" s="15"/>
      <c r="N8" s="15"/>
      <c r="O8" s="15"/>
    </row>
    <row r="9" spans="1:15" x14ac:dyDescent="0.35">
      <c r="A9" s="11" t="s">
        <v>520</v>
      </c>
      <c r="B9" s="16">
        <v>0.47</v>
      </c>
      <c r="C9" s="16">
        <v>0.47</v>
      </c>
      <c r="D9" s="16">
        <v>0.44</v>
      </c>
      <c r="E9" s="16">
        <v>0.31</v>
      </c>
      <c r="F9" s="16"/>
      <c r="G9" s="16"/>
      <c r="H9" s="16"/>
      <c r="I9" s="16"/>
      <c r="J9" s="16"/>
      <c r="K9" s="16"/>
      <c r="L9" s="16"/>
      <c r="M9" s="16"/>
      <c r="N9" s="16"/>
      <c r="O9" s="16"/>
    </row>
    <row r="10" spans="1:15" x14ac:dyDescent="0.35">
      <c r="A10" s="11" t="s">
        <v>519</v>
      </c>
      <c r="B10" s="16">
        <v>0.33</v>
      </c>
      <c r="C10" s="16">
        <v>0.28000000000000003</v>
      </c>
      <c r="D10" s="16">
        <v>0.28999999999999998</v>
      </c>
      <c r="E10" s="16">
        <v>0.22</v>
      </c>
      <c r="F10" s="16"/>
      <c r="G10" s="16"/>
      <c r="H10" s="16"/>
      <c r="I10" s="16"/>
      <c r="J10" s="16"/>
      <c r="K10" s="16"/>
      <c r="L10" s="16"/>
      <c r="M10" s="16"/>
      <c r="N10" s="16"/>
      <c r="O10" s="16"/>
    </row>
    <row r="11" spans="1:15" x14ac:dyDescent="0.35">
      <c r="A11" s="11" t="s">
        <v>518</v>
      </c>
      <c r="B11" s="16">
        <v>0.22</v>
      </c>
      <c r="C11" s="16">
        <v>0.18</v>
      </c>
      <c r="D11" s="16">
        <v>0.18</v>
      </c>
      <c r="E11" s="16">
        <v>0.13</v>
      </c>
      <c r="F11" s="16"/>
      <c r="G11" s="16"/>
      <c r="H11" s="16"/>
      <c r="I11" s="16"/>
      <c r="J11" s="16"/>
      <c r="K11" s="16"/>
      <c r="L11" s="16"/>
      <c r="M11" s="16"/>
      <c r="N11" s="16"/>
      <c r="O11" s="16"/>
    </row>
    <row r="12" spans="1:15" x14ac:dyDescent="0.35">
      <c r="A12" s="11" t="s">
        <v>517</v>
      </c>
      <c r="B12" s="16">
        <v>0.09</v>
      </c>
      <c r="C12" s="16">
        <v>0.11</v>
      </c>
      <c r="D12" s="16">
        <v>0.08</v>
      </c>
      <c r="E12" s="16">
        <v>0.06</v>
      </c>
      <c r="F12" s="16"/>
      <c r="G12" s="16"/>
      <c r="H12" s="16"/>
      <c r="I12" s="16"/>
      <c r="J12" s="16"/>
      <c r="K12" s="16"/>
      <c r="L12" s="16"/>
      <c r="M12" s="16"/>
      <c r="N12" s="16"/>
      <c r="O12" s="16"/>
    </row>
    <row r="13" spans="1:15" x14ac:dyDescent="0.35">
      <c r="A13" s="11" t="s">
        <v>395</v>
      </c>
      <c r="B13" s="16">
        <v>0.34</v>
      </c>
      <c r="C13" s="16">
        <v>0.3</v>
      </c>
      <c r="D13" s="16">
        <v>0.28999999999999998</v>
      </c>
      <c r="E13" s="16">
        <v>0.22</v>
      </c>
      <c r="F13" s="16"/>
      <c r="G13" s="16"/>
      <c r="H13" s="16"/>
      <c r="I13" s="16"/>
      <c r="J13" s="16"/>
      <c r="K13" s="16"/>
      <c r="L13" s="16"/>
      <c r="M13" s="16"/>
      <c r="N13" s="16"/>
      <c r="O13" s="16"/>
    </row>
    <row r="14" spans="1:15" ht="30" customHeight="1" x14ac:dyDescent="0.4">
      <c r="A14" s="5" t="s">
        <v>137</v>
      </c>
      <c r="B14" s="16"/>
      <c r="C14" s="16"/>
      <c r="D14" s="16"/>
      <c r="E14" s="16"/>
      <c r="F14" s="16"/>
      <c r="G14" s="16"/>
      <c r="H14" s="16"/>
      <c r="I14" s="16"/>
      <c r="J14" s="16"/>
      <c r="K14" s="16"/>
      <c r="L14" s="16"/>
      <c r="M14" s="16"/>
      <c r="N14" s="16"/>
      <c r="O14" s="16"/>
    </row>
    <row r="15" spans="1:15" x14ac:dyDescent="0.35">
      <c r="A15" s="11" t="s">
        <v>386</v>
      </c>
      <c r="B15" s="16" t="s">
        <v>391</v>
      </c>
      <c r="C15" s="16" t="s">
        <v>392</v>
      </c>
      <c r="D15" s="16" t="s">
        <v>393</v>
      </c>
      <c r="E15" s="16" t="s">
        <v>394</v>
      </c>
      <c r="F15" s="16"/>
      <c r="G15" s="16"/>
      <c r="H15" s="16"/>
      <c r="I15" s="16"/>
      <c r="J15" s="16"/>
      <c r="K15" s="16"/>
      <c r="L15" s="16"/>
      <c r="M15" s="16"/>
      <c r="N15" s="16"/>
      <c r="O15" s="16"/>
    </row>
    <row r="16" spans="1:15" x14ac:dyDescent="0.35">
      <c r="A16" s="8" t="s">
        <v>521</v>
      </c>
      <c r="B16" s="15">
        <v>0.35</v>
      </c>
      <c r="C16" s="15">
        <v>0.31</v>
      </c>
      <c r="D16" s="15">
        <v>0.33</v>
      </c>
      <c r="E16" s="15">
        <v>0.36</v>
      </c>
      <c r="F16" s="15"/>
      <c r="G16" s="15"/>
      <c r="H16" s="15"/>
      <c r="I16" s="15"/>
      <c r="J16" s="15"/>
      <c r="K16" s="15"/>
      <c r="L16" s="15"/>
      <c r="M16" s="15"/>
      <c r="N16" s="15"/>
      <c r="O16" s="15"/>
    </row>
    <row r="17" spans="1:15" x14ac:dyDescent="0.35">
      <c r="A17" s="11" t="s">
        <v>520</v>
      </c>
      <c r="B17" s="16">
        <v>0.27</v>
      </c>
      <c r="C17" s="16">
        <v>0.31</v>
      </c>
      <c r="D17" s="16">
        <v>0.3</v>
      </c>
      <c r="E17" s="16">
        <v>0.27</v>
      </c>
      <c r="F17" s="16"/>
      <c r="G17" s="16"/>
      <c r="H17" s="16"/>
      <c r="I17" s="16"/>
      <c r="J17" s="16"/>
      <c r="K17" s="16"/>
      <c r="L17" s="16"/>
      <c r="M17" s="16"/>
      <c r="N17" s="16"/>
      <c r="O17" s="16"/>
    </row>
    <row r="18" spans="1:15" x14ac:dyDescent="0.35">
      <c r="A18" s="11" t="s">
        <v>519</v>
      </c>
      <c r="B18" s="16">
        <v>0.19</v>
      </c>
      <c r="C18" s="16">
        <v>0.18</v>
      </c>
      <c r="D18" s="16">
        <v>0.19</v>
      </c>
      <c r="E18" s="16">
        <v>0.19</v>
      </c>
      <c r="F18" s="16"/>
      <c r="G18" s="16"/>
      <c r="H18" s="16"/>
      <c r="I18" s="16"/>
      <c r="J18" s="16"/>
      <c r="K18" s="16"/>
      <c r="L18" s="16"/>
      <c r="M18" s="16"/>
      <c r="N18" s="16"/>
      <c r="O18" s="16"/>
    </row>
    <row r="19" spans="1:15" x14ac:dyDescent="0.35">
      <c r="A19" s="11" t="s">
        <v>518</v>
      </c>
      <c r="B19" s="16">
        <v>0.13</v>
      </c>
      <c r="C19" s="16">
        <v>0.12</v>
      </c>
      <c r="D19" s="16">
        <v>0.12</v>
      </c>
      <c r="E19" s="16">
        <v>0.12</v>
      </c>
      <c r="F19" s="16"/>
      <c r="G19" s="16"/>
      <c r="H19" s="16"/>
      <c r="I19" s="16"/>
      <c r="J19" s="16"/>
      <c r="K19" s="16"/>
      <c r="L19" s="16"/>
      <c r="M19" s="16"/>
      <c r="N19" s="16"/>
      <c r="O19" s="16"/>
    </row>
    <row r="20" spans="1:15" x14ac:dyDescent="0.35">
      <c r="A20" s="11" t="s">
        <v>517</v>
      </c>
      <c r="B20" s="16">
        <v>0.05</v>
      </c>
      <c r="C20" s="16">
        <v>7.0000000000000007E-2</v>
      </c>
      <c r="D20" s="16">
        <v>0.05</v>
      </c>
      <c r="E20" s="16">
        <v>0.05</v>
      </c>
      <c r="F20" s="16"/>
      <c r="G20" s="16"/>
      <c r="H20" s="16"/>
      <c r="I20" s="16"/>
      <c r="J20" s="16"/>
      <c r="K20" s="16"/>
      <c r="L20" s="16"/>
      <c r="M20" s="16"/>
      <c r="N20" s="16"/>
      <c r="O20" s="16"/>
    </row>
    <row r="21" spans="1:15" x14ac:dyDescent="0.35">
      <c r="A21" s="11" t="s">
        <v>395</v>
      </c>
      <c r="B21" s="16">
        <v>1</v>
      </c>
      <c r="C21" s="16">
        <v>1</v>
      </c>
      <c r="D21" s="16">
        <v>1</v>
      </c>
      <c r="E21" s="16">
        <v>1</v>
      </c>
      <c r="F21" s="16"/>
      <c r="G21" s="16"/>
      <c r="H21" s="16"/>
      <c r="I21" s="16"/>
      <c r="J21" s="16"/>
      <c r="K21" s="16"/>
      <c r="L21" s="16"/>
      <c r="M21" s="16"/>
      <c r="N21" s="16"/>
      <c r="O21" s="16"/>
    </row>
    <row r="22" spans="1:15" ht="30" customHeight="1" x14ac:dyDescent="0.4">
      <c r="A22" s="5" t="s">
        <v>138</v>
      </c>
      <c r="B22" s="16"/>
      <c r="C22" s="16"/>
      <c r="D22" s="16"/>
      <c r="E22" s="16"/>
      <c r="F22" s="16"/>
      <c r="G22" s="16"/>
      <c r="H22" s="16"/>
      <c r="I22" s="16"/>
      <c r="J22" s="16"/>
      <c r="K22" s="16"/>
      <c r="L22" s="16"/>
      <c r="M22" s="16"/>
      <c r="N22" s="16"/>
      <c r="O22" s="16"/>
    </row>
    <row r="23" spans="1:15" x14ac:dyDescent="0.35">
      <c r="A23" s="11" t="s">
        <v>386</v>
      </c>
      <c r="B23" s="16" t="s">
        <v>391</v>
      </c>
      <c r="C23" s="16" t="s">
        <v>392</v>
      </c>
      <c r="D23" s="16" t="s">
        <v>393</v>
      </c>
      <c r="E23" s="16" t="s">
        <v>394</v>
      </c>
      <c r="F23" s="16"/>
      <c r="G23" s="16"/>
      <c r="H23" s="16"/>
      <c r="I23" s="16"/>
      <c r="J23" s="16"/>
      <c r="K23" s="16"/>
      <c r="L23" s="16"/>
      <c r="M23" s="16"/>
      <c r="N23" s="16"/>
      <c r="O23" s="16"/>
    </row>
    <row r="24" spans="1:15" x14ac:dyDescent="0.35">
      <c r="A24" s="8" t="s">
        <v>521</v>
      </c>
      <c r="B24" s="12">
        <v>56</v>
      </c>
      <c r="C24" s="12">
        <v>46</v>
      </c>
      <c r="D24" s="12">
        <v>52</v>
      </c>
      <c r="E24" s="12">
        <v>55</v>
      </c>
      <c r="F24" s="12"/>
      <c r="G24" s="12"/>
      <c r="H24" s="12"/>
      <c r="I24" s="12"/>
      <c r="J24" s="12"/>
      <c r="K24" s="12"/>
      <c r="L24" s="12"/>
      <c r="M24" s="12"/>
      <c r="N24" s="12"/>
      <c r="O24" s="12"/>
    </row>
    <row r="25" spans="1:15" x14ac:dyDescent="0.35">
      <c r="A25" s="11" t="s">
        <v>520</v>
      </c>
      <c r="B25" s="13">
        <v>46</v>
      </c>
      <c r="C25" s="13">
        <v>46</v>
      </c>
      <c r="D25" s="13">
        <v>51</v>
      </c>
      <c r="E25" s="13">
        <v>47</v>
      </c>
      <c r="F25" s="13"/>
      <c r="G25" s="13"/>
      <c r="H25" s="13"/>
      <c r="I25" s="13"/>
      <c r="J25" s="13"/>
      <c r="K25" s="13"/>
      <c r="L25" s="13"/>
      <c r="M25" s="13"/>
      <c r="N25" s="13"/>
      <c r="O25" s="13"/>
    </row>
    <row r="26" spans="1:15" x14ac:dyDescent="0.35">
      <c r="A26" s="11" t="s">
        <v>519</v>
      </c>
      <c r="B26" s="13">
        <v>45</v>
      </c>
      <c r="C26" s="13">
        <v>49</v>
      </c>
      <c r="D26" s="13">
        <v>47</v>
      </c>
      <c r="E26" s="13">
        <v>49</v>
      </c>
      <c r="F26" s="13"/>
      <c r="G26" s="13"/>
      <c r="H26" s="13"/>
      <c r="I26" s="13"/>
      <c r="J26" s="13"/>
      <c r="K26" s="13"/>
      <c r="L26" s="13"/>
      <c r="M26" s="13"/>
      <c r="N26" s="13"/>
      <c r="O26" s="13"/>
    </row>
    <row r="27" spans="1:15" x14ac:dyDescent="0.35">
      <c r="A27" s="11" t="s">
        <v>518</v>
      </c>
      <c r="B27" s="13">
        <v>45</v>
      </c>
      <c r="C27" s="13">
        <v>45</v>
      </c>
      <c r="D27" s="13">
        <v>50</v>
      </c>
      <c r="E27" s="13">
        <v>43</v>
      </c>
      <c r="F27" s="13"/>
      <c r="G27" s="13"/>
      <c r="H27" s="13"/>
      <c r="I27" s="13"/>
      <c r="J27" s="13"/>
      <c r="K27" s="13"/>
      <c r="L27" s="13"/>
      <c r="M27" s="13"/>
      <c r="N27" s="13"/>
      <c r="O27" s="13"/>
    </row>
    <row r="28" spans="1:15" x14ac:dyDescent="0.35">
      <c r="A28" s="11" t="s">
        <v>517</v>
      </c>
      <c r="B28" s="13">
        <v>46</v>
      </c>
      <c r="C28" s="13">
        <v>48</v>
      </c>
      <c r="D28" s="13">
        <v>38</v>
      </c>
      <c r="E28" s="13">
        <v>51</v>
      </c>
      <c r="F28" s="13"/>
      <c r="G28" s="13"/>
      <c r="H28" s="13"/>
      <c r="I28" s="13"/>
      <c r="J28" s="13"/>
      <c r="K28" s="13"/>
      <c r="L28" s="13"/>
      <c r="M28" s="13"/>
      <c r="N28" s="13"/>
      <c r="O28" s="13"/>
    </row>
    <row r="29" spans="1:15" x14ac:dyDescent="0.35">
      <c r="A29" s="11" t="s">
        <v>395</v>
      </c>
      <c r="B29" s="13">
        <v>48</v>
      </c>
      <c r="C29" s="13">
        <v>47</v>
      </c>
      <c r="D29" s="13">
        <v>49</v>
      </c>
      <c r="E29" s="13">
        <v>51</v>
      </c>
      <c r="F29" s="13"/>
      <c r="G29" s="13"/>
      <c r="H29" s="13"/>
      <c r="I29" s="13"/>
      <c r="J29" s="13"/>
      <c r="K29" s="13"/>
      <c r="L29" s="13"/>
      <c r="M29" s="13"/>
      <c r="N29" s="13"/>
      <c r="O29" s="13"/>
    </row>
    <row r="30" spans="1:15" ht="30" customHeight="1" x14ac:dyDescent="0.4">
      <c r="A30" s="5" t="s">
        <v>139</v>
      </c>
      <c r="B30" s="13"/>
      <c r="C30" s="13"/>
      <c r="D30" s="13"/>
      <c r="E30" s="13"/>
      <c r="F30" s="13"/>
      <c r="G30" s="13"/>
      <c r="H30" s="13"/>
      <c r="I30" s="13"/>
      <c r="J30" s="13"/>
      <c r="K30" s="13"/>
      <c r="L30" s="13"/>
      <c r="M30" s="13"/>
      <c r="N30" s="13"/>
      <c r="O30" s="13"/>
    </row>
    <row r="31" spans="1:15" x14ac:dyDescent="0.35">
      <c r="A31" s="11" t="s">
        <v>386</v>
      </c>
      <c r="B31" s="13" t="s">
        <v>391</v>
      </c>
      <c r="C31" s="13" t="s">
        <v>392</v>
      </c>
      <c r="D31" s="13" t="s">
        <v>393</v>
      </c>
      <c r="E31" s="13" t="s">
        <v>394</v>
      </c>
      <c r="F31" s="13"/>
      <c r="G31" s="13"/>
      <c r="H31" s="13"/>
      <c r="I31" s="13"/>
      <c r="J31" s="13"/>
      <c r="K31" s="13"/>
      <c r="L31" s="13"/>
      <c r="M31" s="13"/>
      <c r="N31" s="13"/>
      <c r="O31" s="13"/>
    </row>
    <row r="32" spans="1:15" x14ac:dyDescent="0.35">
      <c r="A32" s="8" t="s">
        <v>521</v>
      </c>
      <c r="B32" s="12">
        <v>325</v>
      </c>
      <c r="C32" s="12">
        <v>312</v>
      </c>
      <c r="D32" s="12">
        <v>281</v>
      </c>
      <c r="E32" s="12">
        <v>245</v>
      </c>
      <c r="F32" s="12"/>
      <c r="G32" s="12"/>
      <c r="H32" s="12"/>
      <c r="I32" s="12"/>
      <c r="J32" s="12"/>
      <c r="K32" s="12"/>
      <c r="L32" s="12"/>
      <c r="M32" s="12"/>
      <c r="N32" s="12"/>
      <c r="O32" s="12"/>
    </row>
    <row r="33" spans="1:15" x14ac:dyDescent="0.35">
      <c r="A33" s="11" t="s">
        <v>520</v>
      </c>
      <c r="B33" s="13">
        <v>316</v>
      </c>
      <c r="C33" s="13">
        <v>299</v>
      </c>
      <c r="D33" s="13">
        <v>293</v>
      </c>
      <c r="E33" s="13">
        <v>237</v>
      </c>
      <c r="F33" s="13"/>
      <c r="G33" s="13"/>
      <c r="H33" s="13"/>
      <c r="I33" s="13"/>
      <c r="J33" s="13"/>
      <c r="K33" s="13"/>
      <c r="L33" s="13"/>
      <c r="M33" s="13"/>
      <c r="N33" s="13"/>
      <c r="O33" s="13"/>
    </row>
    <row r="34" spans="1:15" x14ac:dyDescent="0.35">
      <c r="A34" s="11" t="s">
        <v>519</v>
      </c>
      <c r="B34" s="13">
        <v>315</v>
      </c>
      <c r="C34" s="13">
        <v>328</v>
      </c>
      <c r="D34" s="13">
        <v>293</v>
      </c>
      <c r="E34" s="13">
        <v>206</v>
      </c>
      <c r="F34" s="13"/>
      <c r="G34" s="13"/>
      <c r="H34" s="13"/>
      <c r="I34" s="13"/>
      <c r="J34" s="13"/>
      <c r="K34" s="13"/>
      <c r="L34" s="13"/>
      <c r="M34" s="13"/>
      <c r="N34" s="13"/>
      <c r="O34" s="13"/>
    </row>
    <row r="35" spans="1:15" x14ac:dyDescent="0.35">
      <c r="A35" s="11" t="s">
        <v>518</v>
      </c>
      <c r="B35" s="13">
        <v>349</v>
      </c>
      <c r="C35" s="13">
        <v>290</v>
      </c>
      <c r="D35" s="13">
        <v>291</v>
      </c>
      <c r="E35" s="13">
        <v>249</v>
      </c>
      <c r="F35" s="13"/>
      <c r="G35" s="13"/>
      <c r="H35" s="13"/>
      <c r="I35" s="13"/>
      <c r="J35" s="13"/>
      <c r="K35" s="13"/>
      <c r="L35" s="13"/>
      <c r="M35" s="13"/>
      <c r="N35" s="13"/>
      <c r="O35" s="13"/>
    </row>
    <row r="36" spans="1:15" x14ac:dyDescent="0.35">
      <c r="A36" s="11" t="s">
        <v>517</v>
      </c>
      <c r="B36" s="13">
        <v>391</v>
      </c>
      <c r="C36" s="13">
        <v>378</v>
      </c>
      <c r="D36" s="13">
        <v>356</v>
      </c>
      <c r="E36" s="13">
        <v>292</v>
      </c>
      <c r="F36" s="13"/>
      <c r="G36" s="13"/>
      <c r="H36" s="13"/>
      <c r="I36" s="13"/>
      <c r="J36" s="13"/>
      <c r="K36" s="13"/>
      <c r="L36" s="13"/>
      <c r="M36" s="13"/>
      <c r="N36" s="13"/>
      <c r="O36" s="13"/>
    </row>
    <row r="37" spans="1:15" x14ac:dyDescent="0.35">
      <c r="A37" s="11" t="s">
        <v>395</v>
      </c>
      <c r="B37" s="13">
        <v>1696</v>
      </c>
      <c r="C37" s="13">
        <v>1607</v>
      </c>
      <c r="D37" s="13">
        <v>1514</v>
      </c>
      <c r="E37" s="13">
        <v>1229</v>
      </c>
      <c r="F37" s="13"/>
      <c r="G37" s="13"/>
      <c r="H37" s="13"/>
      <c r="I37" s="13"/>
      <c r="J37" s="13"/>
      <c r="K37" s="13"/>
      <c r="L37" s="13"/>
      <c r="M37" s="13"/>
      <c r="N37" s="13"/>
      <c r="O37" s="13"/>
    </row>
    <row r="38" spans="1:15" x14ac:dyDescent="0.35">
      <c r="A38" s="11"/>
      <c r="B38" s="13"/>
      <c r="C38" s="13"/>
      <c r="D38" s="13"/>
      <c r="E38" s="13"/>
      <c r="F38" s="13"/>
      <c r="G38" s="13"/>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146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145</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491</v>
      </c>
      <c r="B8" s="15">
        <v>0.52</v>
      </c>
      <c r="C8" s="15">
        <v>0.46</v>
      </c>
      <c r="D8" s="15">
        <v>0.43</v>
      </c>
      <c r="E8" s="15">
        <v>0.5</v>
      </c>
      <c r="F8" s="15">
        <v>0.51</v>
      </c>
      <c r="G8" s="15">
        <v>0.43</v>
      </c>
      <c r="H8" s="15">
        <v>0.46</v>
      </c>
      <c r="I8" s="15">
        <v>0.43</v>
      </c>
      <c r="J8" s="15"/>
      <c r="K8" s="15"/>
      <c r="L8" s="15"/>
      <c r="M8" s="15"/>
      <c r="N8" s="15"/>
      <c r="O8" s="15"/>
    </row>
    <row r="9" spans="1:15" x14ac:dyDescent="0.35">
      <c r="A9" s="11" t="s">
        <v>490</v>
      </c>
      <c r="B9" s="16">
        <v>0.35</v>
      </c>
      <c r="C9" s="16">
        <v>0.35</v>
      </c>
      <c r="D9" s="16">
        <v>0.35</v>
      </c>
      <c r="E9" s="16">
        <v>0.37</v>
      </c>
      <c r="F9" s="16">
        <v>0.35</v>
      </c>
      <c r="G9" s="16">
        <v>0.35</v>
      </c>
      <c r="H9" s="16">
        <v>0.34</v>
      </c>
      <c r="I9" s="16">
        <v>0.24</v>
      </c>
      <c r="J9" s="16"/>
      <c r="K9" s="16"/>
      <c r="L9" s="16"/>
      <c r="M9" s="16"/>
      <c r="N9" s="16"/>
      <c r="O9" s="16"/>
    </row>
    <row r="10" spans="1:15" x14ac:dyDescent="0.35">
      <c r="A10" s="11" t="s">
        <v>489</v>
      </c>
      <c r="B10" s="16">
        <v>0.19</v>
      </c>
      <c r="C10" s="16">
        <v>0.13</v>
      </c>
      <c r="D10" s="16">
        <v>0.16</v>
      </c>
      <c r="E10" s="16">
        <v>0.16</v>
      </c>
      <c r="F10" s="16">
        <v>0.19</v>
      </c>
      <c r="G10" s="16">
        <v>0.15</v>
      </c>
      <c r="H10" s="16">
        <v>0.15</v>
      </c>
      <c r="I10" s="16">
        <v>0.11</v>
      </c>
      <c r="J10" s="16"/>
      <c r="K10" s="16"/>
      <c r="L10" s="16"/>
      <c r="M10" s="16"/>
      <c r="N10" s="16"/>
      <c r="O10" s="16"/>
    </row>
    <row r="11" spans="1:15" x14ac:dyDescent="0.35">
      <c r="A11" s="11" t="s">
        <v>395</v>
      </c>
      <c r="B11" s="16">
        <v>0.36</v>
      </c>
      <c r="C11" s="16">
        <v>0.33</v>
      </c>
      <c r="D11" s="16">
        <v>0.33</v>
      </c>
      <c r="E11" s="16">
        <v>0.35</v>
      </c>
      <c r="F11" s="16">
        <v>0.34</v>
      </c>
      <c r="G11" s="16">
        <v>0.3</v>
      </c>
      <c r="H11" s="16">
        <v>0.28999999999999998</v>
      </c>
      <c r="I11" s="16">
        <v>0.22</v>
      </c>
      <c r="J11" s="16"/>
      <c r="K11" s="16"/>
      <c r="L11" s="16"/>
      <c r="M11" s="16"/>
      <c r="N11" s="16"/>
      <c r="O11" s="16"/>
    </row>
    <row r="12" spans="1:15" ht="30" customHeight="1" x14ac:dyDescent="0.4">
      <c r="A12" s="5" t="s">
        <v>142</v>
      </c>
      <c r="B12" s="16"/>
      <c r="C12" s="16"/>
      <c r="D12" s="16"/>
      <c r="E12" s="16"/>
      <c r="F12" s="16"/>
      <c r="G12" s="16"/>
      <c r="H12" s="16"/>
      <c r="I12" s="16"/>
      <c r="J12" s="16"/>
      <c r="K12" s="16"/>
      <c r="L12" s="16"/>
      <c r="M12" s="16"/>
      <c r="N12" s="16"/>
      <c r="O12" s="16"/>
    </row>
    <row r="13" spans="1:15" x14ac:dyDescent="0.35">
      <c r="A13" s="11" t="s">
        <v>386</v>
      </c>
      <c r="B13" s="16" t="s">
        <v>387</v>
      </c>
      <c r="C13" s="16" t="s">
        <v>388</v>
      </c>
      <c r="D13" s="16" t="s">
        <v>389</v>
      </c>
      <c r="E13" s="16" t="s">
        <v>390</v>
      </c>
      <c r="F13" s="16" t="s">
        <v>391</v>
      </c>
      <c r="G13" s="16" t="s">
        <v>392</v>
      </c>
      <c r="H13" s="16" t="s">
        <v>393</v>
      </c>
      <c r="I13" s="16" t="s">
        <v>394</v>
      </c>
      <c r="J13" s="16"/>
      <c r="K13" s="16"/>
      <c r="L13" s="16"/>
      <c r="M13" s="16"/>
      <c r="N13" s="16"/>
      <c r="O13" s="16"/>
    </row>
    <row r="14" spans="1:15" x14ac:dyDescent="0.35">
      <c r="A14" s="8" t="s">
        <v>491</v>
      </c>
      <c r="B14" s="15">
        <v>0.35</v>
      </c>
      <c r="C14" s="15">
        <v>0.33</v>
      </c>
      <c r="D14" s="15">
        <v>0.39</v>
      </c>
      <c r="E14" s="15">
        <v>0.34</v>
      </c>
      <c r="F14" s="15">
        <v>0.32</v>
      </c>
      <c r="G14" s="15">
        <v>0.26</v>
      </c>
      <c r="H14" s="15">
        <v>0.23</v>
      </c>
      <c r="I14" s="15">
        <v>0.26</v>
      </c>
      <c r="J14" s="15"/>
      <c r="K14" s="15"/>
      <c r="L14" s="15"/>
      <c r="M14" s="15"/>
      <c r="N14" s="15"/>
      <c r="O14" s="15"/>
    </row>
    <row r="15" spans="1:15" x14ac:dyDescent="0.35">
      <c r="A15" s="11" t="s">
        <v>490</v>
      </c>
      <c r="B15" s="16">
        <v>0.54</v>
      </c>
      <c r="C15" s="16">
        <v>0.57999999999999996</v>
      </c>
      <c r="D15" s="16">
        <v>0.5</v>
      </c>
      <c r="E15" s="16">
        <v>0.54</v>
      </c>
      <c r="F15" s="16">
        <v>0.53</v>
      </c>
      <c r="G15" s="16">
        <v>0.59</v>
      </c>
      <c r="H15" s="16">
        <v>0.6</v>
      </c>
      <c r="I15" s="16">
        <v>0.57999999999999996</v>
      </c>
      <c r="J15" s="16"/>
      <c r="K15" s="16"/>
      <c r="L15" s="16"/>
      <c r="M15" s="16"/>
      <c r="N15" s="16"/>
      <c r="O15" s="16"/>
    </row>
    <row r="16" spans="1:15" x14ac:dyDescent="0.35">
      <c r="A16" s="11" t="s">
        <v>489</v>
      </c>
      <c r="B16" s="16">
        <v>0.11</v>
      </c>
      <c r="C16" s="16">
        <v>0.09</v>
      </c>
      <c r="D16" s="16">
        <v>0.11</v>
      </c>
      <c r="E16" s="16">
        <v>0.12</v>
      </c>
      <c r="F16" s="16">
        <v>0.15</v>
      </c>
      <c r="G16" s="16">
        <v>0.16</v>
      </c>
      <c r="H16" s="16">
        <v>0.17</v>
      </c>
      <c r="I16" s="16">
        <v>0.16</v>
      </c>
      <c r="J16" s="16"/>
      <c r="K16" s="16"/>
      <c r="L16" s="16"/>
      <c r="M16" s="16"/>
      <c r="N16" s="16"/>
      <c r="O16" s="16"/>
    </row>
    <row r="17" spans="1:15" x14ac:dyDescent="0.35">
      <c r="A17" s="11" t="s">
        <v>395</v>
      </c>
      <c r="B17" s="16">
        <v>1</v>
      </c>
      <c r="C17" s="16">
        <v>1</v>
      </c>
      <c r="D17" s="16">
        <v>1</v>
      </c>
      <c r="E17" s="16">
        <v>1</v>
      </c>
      <c r="F17" s="16">
        <v>1</v>
      </c>
      <c r="G17" s="16">
        <v>1</v>
      </c>
      <c r="H17" s="16">
        <v>1</v>
      </c>
      <c r="I17" s="16">
        <v>1</v>
      </c>
      <c r="J17" s="16"/>
      <c r="K17" s="16"/>
      <c r="L17" s="16"/>
      <c r="M17" s="16"/>
      <c r="N17" s="16"/>
      <c r="O17" s="16"/>
    </row>
    <row r="18" spans="1:15" ht="30" customHeight="1" x14ac:dyDescent="0.4">
      <c r="A18" s="5" t="s">
        <v>143</v>
      </c>
      <c r="B18" s="16"/>
      <c r="C18" s="16"/>
      <c r="D18" s="16"/>
      <c r="E18" s="16"/>
      <c r="F18" s="16"/>
      <c r="G18" s="16"/>
      <c r="H18" s="16"/>
      <c r="I18" s="16"/>
      <c r="J18" s="16"/>
      <c r="K18" s="16"/>
      <c r="L18" s="16"/>
      <c r="M18" s="16"/>
      <c r="N18" s="16"/>
      <c r="O18" s="16"/>
    </row>
    <row r="19" spans="1:15" x14ac:dyDescent="0.35">
      <c r="A19" s="11" t="s">
        <v>386</v>
      </c>
      <c r="B19" s="16" t="s">
        <v>387</v>
      </c>
      <c r="C19" s="16" t="s">
        <v>388</v>
      </c>
      <c r="D19" s="16" t="s">
        <v>389</v>
      </c>
      <c r="E19" s="16" t="s">
        <v>390</v>
      </c>
      <c r="F19" s="16" t="s">
        <v>391</v>
      </c>
      <c r="G19" s="16" t="s">
        <v>392</v>
      </c>
      <c r="H19" s="16" t="s">
        <v>393</v>
      </c>
      <c r="I19" s="16" t="s">
        <v>394</v>
      </c>
      <c r="J19" s="16"/>
      <c r="K19" s="16"/>
      <c r="L19" s="16"/>
      <c r="M19" s="16"/>
      <c r="N19" s="16"/>
      <c r="O19" s="16"/>
    </row>
    <row r="20" spans="1:15" x14ac:dyDescent="0.35">
      <c r="A20" s="8" t="s">
        <v>491</v>
      </c>
      <c r="B20" s="12">
        <v>56</v>
      </c>
      <c r="C20" s="12">
        <v>57</v>
      </c>
      <c r="D20" s="12">
        <v>57</v>
      </c>
      <c r="E20" s="12">
        <v>61</v>
      </c>
      <c r="F20" s="12">
        <v>64</v>
      </c>
      <c r="G20" s="12">
        <v>59</v>
      </c>
      <c r="H20" s="12">
        <v>61</v>
      </c>
      <c r="I20" s="12">
        <v>65</v>
      </c>
      <c r="J20" s="12"/>
      <c r="K20" s="12"/>
      <c r="L20" s="12"/>
      <c r="M20" s="12"/>
      <c r="N20" s="12"/>
      <c r="O20" s="12"/>
    </row>
    <row r="21" spans="1:15" x14ac:dyDescent="0.35">
      <c r="A21" s="11" t="s">
        <v>490</v>
      </c>
      <c r="B21" s="13">
        <v>42</v>
      </c>
      <c r="C21" s="13">
        <v>43</v>
      </c>
      <c r="D21" s="13">
        <v>44</v>
      </c>
      <c r="E21" s="13">
        <v>44</v>
      </c>
      <c r="F21" s="13">
        <v>46</v>
      </c>
      <c r="G21" s="13">
        <v>45</v>
      </c>
      <c r="H21" s="13">
        <v>47</v>
      </c>
      <c r="I21" s="13">
        <v>48</v>
      </c>
      <c r="J21" s="13"/>
      <c r="K21" s="13"/>
      <c r="L21" s="13"/>
      <c r="M21" s="13"/>
      <c r="N21" s="13"/>
      <c r="O21" s="13"/>
    </row>
    <row r="22" spans="1:15" x14ac:dyDescent="0.35">
      <c r="A22" s="11" t="s">
        <v>489</v>
      </c>
      <c r="B22" s="13">
        <v>37</v>
      </c>
      <c r="C22" s="13">
        <v>36</v>
      </c>
      <c r="D22" s="13">
        <v>36</v>
      </c>
      <c r="E22" s="13">
        <v>43</v>
      </c>
      <c r="F22" s="13">
        <v>40</v>
      </c>
      <c r="G22" s="13">
        <v>42</v>
      </c>
      <c r="H22" s="13">
        <v>41</v>
      </c>
      <c r="I22" s="13">
        <v>41</v>
      </c>
      <c r="J22" s="13"/>
      <c r="K22" s="13"/>
      <c r="L22" s="13"/>
      <c r="M22" s="13"/>
      <c r="N22" s="13"/>
      <c r="O22" s="13"/>
    </row>
    <row r="23" spans="1:15" x14ac:dyDescent="0.35">
      <c r="A23" s="11" t="s">
        <v>395</v>
      </c>
      <c r="B23" s="13">
        <v>45</v>
      </c>
      <c r="C23" s="13">
        <v>45</v>
      </c>
      <c r="D23" s="13">
        <v>46</v>
      </c>
      <c r="E23" s="13">
        <v>48</v>
      </c>
      <c r="F23" s="13">
        <v>48</v>
      </c>
      <c r="G23" s="13">
        <v>47</v>
      </c>
      <c r="H23" s="13">
        <v>49</v>
      </c>
      <c r="I23" s="13">
        <v>51</v>
      </c>
      <c r="J23" s="13"/>
      <c r="K23" s="13"/>
      <c r="L23" s="13"/>
      <c r="M23" s="13"/>
      <c r="N23" s="13"/>
      <c r="O23" s="13"/>
    </row>
    <row r="24" spans="1:15" ht="30" customHeight="1" x14ac:dyDescent="0.4">
      <c r="A24" s="5" t="s">
        <v>144</v>
      </c>
      <c r="B24" s="13"/>
      <c r="C24" s="13"/>
      <c r="D24" s="13"/>
      <c r="E24" s="13"/>
      <c r="F24" s="13"/>
      <c r="G24" s="13"/>
      <c r="H24" s="13"/>
      <c r="I24" s="13"/>
      <c r="J24" s="13"/>
      <c r="K24" s="13"/>
      <c r="L24" s="13"/>
      <c r="M24" s="13"/>
      <c r="N24" s="13"/>
      <c r="O24" s="13"/>
    </row>
    <row r="25" spans="1:15" x14ac:dyDescent="0.35">
      <c r="A25" s="11" t="s">
        <v>386</v>
      </c>
      <c r="B25" s="13" t="s">
        <v>387</v>
      </c>
      <c r="C25" s="13" t="s">
        <v>388</v>
      </c>
      <c r="D25" s="13" t="s">
        <v>389</v>
      </c>
      <c r="E25" s="13" t="s">
        <v>390</v>
      </c>
      <c r="F25" s="13" t="s">
        <v>391</v>
      </c>
      <c r="G25" s="13" t="s">
        <v>392</v>
      </c>
      <c r="H25" s="13" t="s">
        <v>393</v>
      </c>
      <c r="I25" s="13" t="s">
        <v>394</v>
      </c>
      <c r="J25" s="13"/>
      <c r="K25" s="13"/>
      <c r="L25" s="13"/>
      <c r="M25" s="13"/>
      <c r="N25" s="13"/>
      <c r="O25" s="13"/>
    </row>
    <row r="26" spans="1:15" x14ac:dyDescent="0.35">
      <c r="A26" s="8" t="s">
        <v>491</v>
      </c>
      <c r="B26" s="12">
        <v>676</v>
      </c>
      <c r="C26" s="12">
        <v>458</v>
      </c>
      <c r="D26" s="12">
        <v>594</v>
      </c>
      <c r="E26" s="12">
        <v>449</v>
      </c>
      <c r="F26" s="12">
        <v>385</v>
      </c>
      <c r="G26" s="12">
        <v>308</v>
      </c>
      <c r="H26" s="12">
        <v>220</v>
      </c>
      <c r="I26" s="12">
        <v>140</v>
      </c>
      <c r="J26" s="12"/>
      <c r="K26" s="12"/>
      <c r="L26" s="12"/>
      <c r="M26" s="12"/>
      <c r="N26" s="12"/>
      <c r="O26" s="12"/>
    </row>
    <row r="27" spans="1:15" x14ac:dyDescent="0.35">
      <c r="A27" s="11" t="s">
        <v>490</v>
      </c>
      <c r="B27" s="13">
        <v>1558</v>
      </c>
      <c r="C27" s="13">
        <v>1085</v>
      </c>
      <c r="D27" s="13">
        <v>1001</v>
      </c>
      <c r="E27" s="13">
        <v>951</v>
      </c>
      <c r="F27" s="13">
        <v>827</v>
      </c>
      <c r="G27" s="13">
        <v>811</v>
      </c>
      <c r="H27" s="13">
        <v>775</v>
      </c>
      <c r="I27" s="13">
        <v>603</v>
      </c>
      <c r="J27" s="13"/>
      <c r="K27" s="13"/>
      <c r="L27" s="13"/>
      <c r="M27" s="13"/>
      <c r="N27" s="13"/>
      <c r="O27" s="13"/>
    </row>
    <row r="28" spans="1:15" x14ac:dyDescent="0.35">
      <c r="A28" s="11" t="s">
        <v>489</v>
      </c>
      <c r="B28" s="13">
        <v>595</v>
      </c>
      <c r="C28" s="13">
        <v>451</v>
      </c>
      <c r="D28" s="13">
        <v>471</v>
      </c>
      <c r="E28" s="13">
        <v>489</v>
      </c>
      <c r="F28" s="13">
        <v>484</v>
      </c>
      <c r="G28" s="13">
        <v>488</v>
      </c>
      <c r="H28" s="13">
        <v>519</v>
      </c>
      <c r="I28" s="13">
        <v>484</v>
      </c>
      <c r="J28" s="13"/>
      <c r="K28" s="13"/>
      <c r="L28" s="13"/>
      <c r="M28" s="13"/>
      <c r="N28" s="13"/>
      <c r="O28" s="13"/>
    </row>
    <row r="29" spans="1:15" x14ac:dyDescent="0.35">
      <c r="A29" s="11" t="s">
        <v>395</v>
      </c>
      <c r="B29" s="13">
        <v>2829</v>
      </c>
      <c r="C29" s="13">
        <v>1994</v>
      </c>
      <c r="D29" s="13">
        <v>2066</v>
      </c>
      <c r="E29" s="13">
        <v>1889</v>
      </c>
      <c r="F29" s="13">
        <v>1696</v>
      </c>
      <c r="G29" s="13">
        <v>1607</v>
      </c>
      <c r="H29" s="13">
        <v>1514</v>
      </c>
      <c r="I29" s="13">
        <v>1227</v>
      </c>
      <c r="J29" s="13"/>
      <c r="K29" s="13"/>
      <c r="L29" s="13"/>
      <c r="M29" s="13"/>
      <c r="N29" s="13"/>
      <c r="O29" s="13"/>
    </row>
    <row r="30" spans="1:15" x14ac:dyDescent="0.35">
      <c r="A30" s="11"/>
      <c r="B30" s="13"/>
      <c r="C30" s="13"/>
      <c r="D30" s="13"/>
      <c r="E30" s="13"/>
      <c r="F30" s="13"/>
      <c r="G30" s="13"/>
      <c r="H30" s="13"/>
      <c r="I30" s="13"/>
      <c r="J30" s="13"/>
      <c r="K30" s="13"/>
      <c r="L30" s="13"/>
      <c r="M30" s="13"/>
      <c r="N30" s="13"/>
      <c r="O30" s="13"/>
    </row>
    <row r="31" spans="1:15" x14ac:dyDescent="0.35">
      <c r="A31" s="11"/>
      <c r="B31" s="13"/>
      <c r="C31" s="13"/>
      <c r="D31" s="13"/>
      <c r="E31" s="13"/>
      <c r="F31" s="13"/>
      <c r="G31" s="13"/>
      <c r="H31" s="13"/>
      <c r="I31" s="13"/>
      <c r="J31" s="13"/>
      <c r="K31" s="13"/>
      <c r="L31" s="13"/>
      <c r="M31" s="13"/>
      <c r="N31" s="13"/>
      <c r="O31" s="13"/>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151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150</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407</v>
      </c>
      <c r="B8" s="15">
        <v>0.48</v>
      </c>
      <c r="C8" s="15">
        <v>0.42</v>
      </c>
      <c r="D8" s="15">
        <v>0.45</v>
      </c>
      <c r="E8" s="15">
        <v>0.52</v>
      </c>
      <c r="F8" s="15">
        <v>0.54</v>
      </c>
      <c r="G8" s="15">
        <v>0.43</v>
      </c>
      <c r="H8" s="15">
        <v>0.41</v>
      </c>
      <c r="I8" s="15">
        <v>0.35</v>
      </c>
      <c r="J8" s="15"/>
      <c r="K8" s="15"/>
      <c r="L8" s="15"/>
      <c r="M8" s="15"/>
      <c r="N8" s="15"/>
      <c r="O8" s="15"/>
    </row>
    <row r="9" spans="1:15" x14ac:dyDescent="0.35">
      <c r="A9" s="11" t="s">
        <v>408</v>
      </c>
      <c r="B9" s="16">
        <v>0.44</v>
      </c>
      <c r="C9" s="16">
        <v>0.43</v>
      </c>
      <c r="D9" s="16">
        <v>0.45</v>
      </c>
      <c r="E9" s="16">
        <v>0.45</v>
      </c>
      <c r="F9" s="16">
        <v>0.46</v>
      </c>
      <c r="G9" s="16">
        <v>0.38</v>
      </c>
      <c r="H9" s="16">
        <v>0.37</v>
      </c>
      <c r="I9" s="16">
        <v>0.25</v>
      </c>
      <c r="J9" s="16"/>
      <c r="K9" s="16"/>
      <c r="L9" s="16"/>
      <c r="M9" s="16"/>
      <c r="N9" s="16"/>
      <c r="O9" s="16"/>
    </row>
    <row r="10" spans="1:15" x14ac:dyDescent="0.35">
      <c r="A10" s="11" t="s">
        <v>409</v>
      </c>
      <c r="B10" s="16">
        <v>0.38</v>
      </c>
      <c r="C10" s="16">
        <v>0.35</v>
      </c>
      <c r="D10" s="16">
        <v>0.3</v>
      </c>
      <c r="E10" s="16">
        <v>0.4</v>
      </c>
      <c r="F10" s="16">
        <v>0.38</v>
      </c>
      <c r="G10" s="16">
        <v>0.39</v>
      </c>
      <c r="H10" s="16">
        <v>0.37</v>
      </c>
      <c r="I10" s="16">
        <v>0.21</v>
      </c>
      <c r="J10" s="16"/>
      <c r="K10" s="16"/>
      <c r="L10" s="16"/>
      <c r="M10" s="16"/>
      <c r="N10" s="16"/>
      <c r="O10" s="16"/>
    </row>
    <row r="11" spans="1:15" x14ac:dyDescent="0.35">
      <c r="A11" s="11" t="s">
        <v>410</v>
      </c>
      <c r="B11" s="16">
        <v>0.32</v>
      </c>
      <c r="C11" s="16">
        <v>0.3</v>
      </c>
      <c r="D11" s="16">
        <v>0.32</v>
      </c>
      <c r="E11" s="16">
        <v>0.27</v>
      </c>
      <c r="F11" s="16">
        <v>0.27</v>
      </c>
      <c r="G11" s="16">
        <v>0.26</v>
      </c>
      <c r="H11" s="16">
        <v>0.27</v>
      </c>
      <c r="I11" s="16">
        <v>0.25</v>
      </c>
      <c r="J11" s="16"/>
      <c r="K11" s="16"/>
      <c r="L11" s="16"/>
      <c r="M11" s="16"/>
      <c r="N11" s="16"/>
      <c r="O11" s="16"/>
    </row>
    <row r="12" spans="1:15" x14ac:dyDescent="0.35">
      <c r="A12" s="11" t="s">
        <v>411</v>
      </c>
      <c r="B12" s="16">
        <v>0.24</v>
      </c>
      <c r="C12" s="16">
        <v>0.2</v>
      </c>
      <c r="D12" s="16">
        <v>0.23</v>
      </c>
      <c r="E12" s="16">
        <v>0.25</v>
      </c>
      <c r="F12" s="16">
        <v>0.28999999999999998</v>
      </c>
      <c r="G12" s="16">
        <v>0.2</v>
      </c>
      <c r="H12" s="16">
        <v>0.21</v>
      </c>
      <c r="I12" s="16">
        <v>0.18</v>
      </c>
      <c r="J12" s="16"/>
      <c r="K12" s="16"/>
      <c r="L12" s="16"/>
      <c r="M12" s="16"/>
      <c r="N12" s="16"/>
      <c r="O12" s="16"/>
    </row>
    <row r="13" spans="1:15" x14ac:dyDescent="0.35">
      <c r="A13" s="11" t="s">
        <v>412</v>
      </c>
      <c r="B13" s="16">
        <v>0.21</v>
      </c>
      <c r="C13" s="16">
        <v>0.19</v>
      </c>
      <c r="D13" s="16">
        <v>0.19</v>
      </c>
      <c r="E13" s="16">
        <v>0.2</v>
      </c>
      <c r="F13" s="16">
        <v>0.17</v>
      </c>
      <c r="G13" s="16">
        <v>0.12</v>
      </c>
      <c r="H13" s="16">
        <v>0.11</v>
      </c>
      <c r="I13" s="16">
        <v>0.09</v>
      </c>
      <c r="J13" s="16"/>
      <c r="K13" s="16"/>
      <c r="L13" s="16"/>
      <c r="M13" s="16"/>
      <c r="N13" s="16"/>
      <c r="O13" s="16"/>
    </row>
    <row r="14" spans="1:15" x14ac:dyDescent="0.35">
      <c r="A14" s="11" t="s">
        <v>395</v>
      </c>
      <c r="B14" s="16">
        <v>0.36</v>
      </c>
      <c r="C14" s="16">
        <v>0.33</v>
      </c>
      <c r="D14" s="16">
        <v>0.33</v>
      </c>
      <c r="E14" s="16">
        <v>0.35</v>
      </c>
      <c r="F14" s="16">
        <v>0.34</v>
      </c>
      <c r="G14" s="16">
        <v>0.3</v>
      </c>
      <c r="H14" s="16">
        <v>0.28999999999999998</v>
      </c>
      <c r="I14" s="16">
        <v>0.22</v>
      </c>
      <c r="J14" s="16"/>
      <c r="K14" s="16"/>
      <c r="L14" s="16"/>
      <c r="M14" s="16"/>
      <c r="N14" s="16"/>
      <c r="O14" s="16"/>
    </row>
    <row r="15" spans="1:15" ht="30" customHeight="1" x14ac:dyDescent="0.4">
      <c r="A15" s="5" t="s">
        <v>147</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407</v>
      </c>
      <c r="B17" s="15">
        <v>0.24</v>
      </c>
      <c r="C17" s="15">
        <v>0.23</v>
      </c>
      <c r="D17" s="15">
        <v>0.23</v>
      </c>
      <c r="E17" s="15">
        <v>0.21</v>
      </c>
      <c r="F17" s="15">
        <v>0.2</v>
      </c>
      <c r="G17" s="15">
        <v>0.22</v>
      </c>
      <c r="H17" s="15">
        <v>0.2</v>
      </c>
      <c r="I17" s="15">
        <v>0.24</v>
      </c>
      <c r="J17" s="15"/>
      <c r="K17" s="15"/>
      <c r="L17" s="15"/>
      <c r="M17" s="15"/>
      <c r="N17" s="15"/>
      <c r="O17" s="15"/>
    </row>
    <row r="18" spans="1:15" x14ac:dyDescent="0.35">
      <c r="A18" s="11" t="s">
        <v>408</v>
      </c>
      <c r="B18" s="16">
        <v>0.25</v>
      </c>
      <c r="C18" s="16">
        <v>0.25</v>
      </c>
      <c r="D18" s="16">
        <v>0.24</v>
      </c>
      <c r="E18" s="16">
        <v>0.21</v>
      </c>
      <c r="F18" s="16">
        <v>0.21</v>
      </c>
      <c r="G18" s="16">
        <v>0.21</v>
      </c>
      <c r="H18" s="16">
        <v>0.21</v>
      </c>
      <c r="I18" s="16">
        <v>0.15</v>
      </c>
      <c r="J18" s="16"/>
      <c r="K18" s="16"/>
      <c r="L18" s="16"/>
      <c r="M18" s="16"/>
      <c r="N18" s="16"/>
      <c r="O18" s="16"/>
    </row>
    <row r="19" spans="1:15" x14ac:dyDescent="0.35">
      <c r="A19" s="11" t="s">
        <v>409</v>
      </c>
      <c r="B19" s="16">
        <v>0.19</v>
      </c>
      <c r="C19" s="16">
        <v>0.2</v>
      </c>
      <c r="D19" s="16">
        <v>0.18</v>
      </c>
      <c r="E19" s="16">
        <v>0.22</v>
      </c>
      <c r="F19" s="16">
        <v>0.24</v>
      </c>
      <c r="G19" s="16">
        <v>0.27</v>
      </c>
      <c r="H19" s="16">
        <v>0.25</v>
      </c>
      <c r="I19" s="16">
        <v>0.18</v>
      </c>
      <c r="J19" s="16"/>
      <c r="K19" s="16"/>
      <c r="L19" s="16"/>
      <c r="M19" s="16"/>
      <c r="N19" s="16"/>
      <c r="O19" s="16"/>
    </row>
    <row r="20" spans="1:15" x14ac:dyDescent="0.35">
      <c r="A20" s="11" t="s">
        <v>410</v>
      </c>
      <c r="B20" s="16">
        <v>0.16</v>
      </c>
      <c r="C20" s="16">
        <v>0.16</v>
      </c>
      <c r="D20" s="16">
        <v>0.17</v>
      </c>
      <c r="E20" s="16">
        <v>0.15</v>
      </c>
      <c r="F20" s="16">
        <v>0.13</v>
      </c>
      <c r="G20" s="16">
        <v>0.15</v>
      </c>
      <c r="H20" s="16">
        <v>0.17</v>
      </c>
      <c r="I20" s="16">
        <v>0.22</v>
      </c>
      <c r="J20" s="16"/>
      <c r="K20" s="16"/>
      <c r="L20" s="16"/>
      <c r="M20" s="16"/>
      <c r="N20" s="16"/>
      <c r="O20" s="16"/>
    </row>
    <row r="21" spans="1:15" x14ac:dyDescent="0.35">
      <c r="A21" s="11" t="s">
        <v>411</v>
      </c>
      <c r="B21" s="16">
        <v>0.09</v>
      </c>
      <c r="C21" s="16">
        <v>0.08</v>
      </c>
      <c r="D21" s="16">
        <v>0.1</v>
      </c>
      <c r="E21" s="16">
        <v>0.12</v>
      </c>
      <c r="F21" s="16">
        <v>0.14000000000000001</v>
      </c>
      <c r="G21" s="16">
        <v>0.1</v>
      </c>
      <c r="H21" s="16">
        <v>0.12</v>
      </c>
      <c r="I21" s="16">
        <v>0.15</v>
      </c>
      <c r="J21" s="16"/>
      <c r="K21" s="16"/>
      <c r="L21" s="16"/>
      <c r="M21" s="16"/>
      <c r="N21" s="16"/>
      <c r="O21" s="16"/>
    </row>
    <row r="22" spans="1:15" x14ac:dyDescent="0.35">
      <c r="A22" s="11" t="s">
        <v>412</v>
      </c>
      <c r="B22" s="16">
        <v>7.0000000000000007E-2</v>
      </c>
      <c r="C22" s="16">
        <v>7.0000000000000007E-2</v>
      </c>
      <c r="D22" s="16">
        <v>0.08</v>
      </c>
      <c r="E22" s="16">
        <v>0.09</v>
      </c>
      <c r="F22" s="16">
        <v>0.08</v>
      </c>
      <c r="G22" s="16">
        <v>0.05</v>
      </c>
      <c r="H22" s="16">
        <v>0.05</v>
      </c>
      <c r="I22" s="16">
        <v>0.06</v>
      </c>
      <c r="J22" s="16"/>
      <c r="K22" s="16"/>
      <c r="L22" s="16"/>
      <c r="M22" s="16"/>
      <c r="N22" s="16"/>
      <c r="O22" s="16"/>
    </row>
    <row r="23" spans="1:15" x14ac:dyDescent="0.35">
      <c r="A23" s="11" t="s">
        <v>395</v>
      </c>
      <c r="B23" s="16">
        <v>1</v>
      </c>
      <c r="C23" s="16">
        <v>1</v>
      </c>
      <c r="D23" s="16">
        <v>1</v>
      </c>
      <c r="E23" s="16">
        <v>1</v>
      </c>
      <c r="F23" s="16">
        <v>1</v>
      </c>
      <c r="G23" s="16">
        <v>1</v>
      </c>
      <c r="H23" s="16">
        <v>1</v>
      </c>
      <c r="I23" s="16">
        <v>1</v>
      </c>
      <c r="J23" s="16"/>
      <c r="K23" s="16"/>
      <c r="L23" s="16"/>
      <c r="M23" s="16"/>
      <c r="N23" s="16"/>
      <c r="O23" s="16"/>
    </row>
    <row r="24" spans="1:15" ht="30" customHeight="1" x14ac:dyDescent="0.4">
      <c r="A24" s="5" t="s">
        <v>148</v>
      </c>
      <c r="B24" s="16"/>
      <c r="C24" s="16"/>
      <c r="D24" s="16"/>
      <c r="E24" s="16"/>
      <c r="F24" s="16"/>
      <c r="G24" s="16"/>
      <c r="H24" s="16"/>
      <c r="I24" s="16"/>
      <c r="J24" s="16"/>
      <c r="K24" s="16"/>
      <c r="L24" s="16"/>
      <c r="M24" s="16"/>
      <c r="N24" s="16"/>
      <c r="O24" s="16"/>
    </row>
    <row r="25" spans="1:15" x14ac:dyDescent="0.35">
      <c r="A25" s="11" t="s">
        <v>386</v>
      </c>
      <c r="B25" s="16" t="s">
        <v>387</v>
      </c>
      <c r="C25" s="16" t="s">
        <v>388</v>
      </c>
      <c r="D25" s="16" t="s">
        <v>389</v>
      </c>
      <c r="E25" s="16" t="s">
        <v>390</v>
      </c>
      <c r="F25" s="16" t="s">
        <v>391</v>
      </c>
      <c r="G25" s="16" t="s">
        <v>392</v>
      </c>
      <c r="H25" s="16" t="s">
        <v>393</v>
      </c>
      <c r="I25" s="16" t="s">
        <v>394</v>
      </c>
      <c r="J25" s="16"/>
      <c r="K25" s="16"/>
      <c r="L25" s="16"/>
      <c r="M25" s="16"/>
      <c r="N25" s="16"/>
      <c r="O25" s="16"/>
    </row>
    <row r="26" spans="1:15" x14ac:dyDescent="0.35">
      <c r="A26" s="8" t="s">
        <v>407</v>
      </c>
      <c r="B26" s="12">
        <v>27</v>
      </c>
      <c r="C26" s="12">
        <v>29</v>
      </c>
      <c r="D26" s="12">
        <v>29</v>
      </c>
      <c r="E26" s="12">
        <v>29</v>
      </c>
      <c r="F26" s="12">
        <v>28</v>
      </c>
      <c r="G26" s="12">
        <v>27</v>
      </c>
      <c r="H26" s="12">
        <v>28</v>
      </c>
      <c r="I26" s="12">
        <v>29</v>
      </c>
      <c r="J26" s="12"/>
      <c r="K26" s="12"/>
      <c r="L26" s="12"/>
      <c r="M26" s="12"/>
      <c r="N26" s="12"/>
      <c r="O26" s="12"/>
    </row>
    <row r="27" spans="1:15" x14ac:dyDescent="0.35">
      <c r="A27" s="11" t="s">
        <v>408</v>
      </c>
      <c r="B27" s="13">
        <v>40</v>
      </c>
      <c r="C27" s="13">
        <v>40</v>
      </c>
      <c r="D27" s="13">
        <v>40</v>
      </c>
      <c r="E27" s="13">
        <v>41</v>
      </c>
      <c r="F27" s="13">
        <v>41</v>
      </c>
      <c r="G27" s="13">
        <v>40</v>
      </c>
      <c r="H27" s="13">
        <v>40</v>
      </c>
      <c r="I27" s="13">
        <v>41</v>
      </c>
      <c r="J27" s="13"/>
      <c r="K27" s="13"/>
      <c r="L27" s="13"/>
      <c r="M27" s="13"/>
      <c r="N27" s="13"/>
      <c r="O27" s="13"/>
    </row>
    <row r="28" spans="1:15" x14ac:dyDescent="0.35">
      <c r="A28" s="11" t="s">
        <v>409</v>
      </c>
      <c r="B28" s="13">
        <v>49</v>
      </c>
      <c r="C28" s="13">
        <v>49</v>
      </c>
      <c r="D28" s="13">
        <v>48</v>
      </c>
      <c r="E28" s="13">
        <v>49</v>
      </c>
      <c r="F28" s="13">
        <v>50</v>
      </c>
      <c r="G28" s="13">
        <v>49</v>
      </c>
      <c r="H28" s="13">
        <v>50</v>
      </c>
      <c r="I28" s="13">
        <v>49</v>
      </c>
      <c r="J28" s="13"/>
      <c r="K28" s="13"/>
      <c r="L28" s="13"/>
      <c r="M28" s="13"/>
      <c r="N28" s="13"/>
      <c r="O28" s="13"/>
    </row>
    <row r="29" spans="1:15" x14ac:dyDescent="0.35">
      <c r="A29" s="11" t="s">
        <v>410</v>
      </c>
      <c r="B29" s="13">
        <v>59</v>
      </c>
      <c r="C29" s="13">
        <v>60</v>
      </c>
      <c r="D29" s="13">
        <v>59</v>
      </c>
      <c r="E29" s="13">
        <v>59</v>
      </c>
      <c r="F29" s="13">
        <v>59</v>
      </c>
      <c r="G29" s="13">
        <v>59</v>
      </c>
      <c r="H29" s="13">
        <v>59</v>
      </c>
      <c r="I29" s="13">
        <v>59</v>
      </c>
      <c r="J29" s="13"/>
      <c r="K29" s="13"/>
      <c r="L29" s="13"/>
      <c r="M29" s="13"/>
      <c r="N29" s="13"/>
      <c r="O29" s="13"/>
    </row>
    <row r="30" spans="1:15" x14ac:dyDescent="0.35">
      <c r="A30" s="11" t="s">
        <v>411</v>
      </c>
      <c r="B30" s="13">
        <v>69</v>
      </c>
      <c r="C30" s="13">
        <v>68</v>
      </c>
      <c r="D30" s="13">
        <v>68</v>
      </c>
      <c r="E30" s="13">
        <v>69</v>
      </c>
      <c r="F30" s="13">
        <v>69</v>
      </c>
      <c r="G30" s="13">
        <v>69</v>
      </c>
      <c r="H30" s="13">
        <v>69</v>
      </c>
      <c r="I30" s="13">
        <v>70</v>
      </c>
      <c r="J30" s="13"/>
      <c r="K30" s="13"/>
      <c r="L30" s="13"/>
      <c r="M30" s="13"/>
      <c r="N30" s="13"/>
      <c r="O30" s="13"/>
    </row>
    <row r="31" spans="1:15" x14ac:dyDescent="0.35">
      <c r="A31" s="11" t="s">
        <v>412</v>
      </c>
      <c r="B31" s="13">
        <v>79</v>
      </c>
      <c r="C31" s="13">
        <v>79</v>
      </c>
      <c r="D31" s="13">
        <v>79</v>
      </c>
      <c r="E31" s="13">
        <v>82</v>
      </c>
      <c r="F31" s="13">
        <v>78</v>
      </c>
      <c r="G31" s="13">
        <v>78</v>
      </c>
      <c r="H31" s="13">
        <v>79</v>
      </c>
      <c r="I31" s="13">
        <v>82</v>
      </c>
      <c r="J31" s="13"/>
      <c r="K31" s="13"/>
      <c r="L31" s="13"/>
      <c r="M31" s="13"/>
      <c r="N31" s="13"/>
      <c r="O31" s="13"/>
    </row>
    <row r="32" spans="1:15" x14ac:dyDescent="0.35">
      <c r="A32" s="11" t="s">
        <v>395</v>
      </c>
      <c r="B32" s="13">
        <v>45</v>
      </c>
      <c r="C32" s="13">
        <v>45</v>
      </c>
      <c r="D32" s="13">
        <v>46</v>
      </c>
      <c r="E32" s="13">
        <v>48</v>
      </c>
      <c r="F32" s="13">
        <v>48</v>
      </c>
      <c r="G32" s="13">
        <v>47</v>
      </c>
      <c r="H32" s="13">
        <v>49</v>
      </c>
      <c r="I32" s="13">
        <v>51</v>
      </c>
      <c r="J32" s="13"/>
      <c r="K32" s="13"/>
      <c r="L32" s="13"/>
      <c r="M32" s="13"/>
      <c r="N32" s="13"/>
      <c r="O32" s="13"/>
    </row>
    <row r="33" spans="1:15" ht="30" customHeight="1" x14ac:dyDescent="0.4">
      <c r="A33" s="5" t="s">
        <v>149</v>
      </c>
      <c r="B33" s="13"/>
      <c r="C33" s="13"/>
      <c r="D33" s="13"/>
      <c r="E33" s="13"/>
      <c r="F33" s="13"/>
      <c r="G33" s="13"/>
      <c r="H33" s="13"/>
      <c r="I33" s="13"/>
      <c r="J33" s="13"/>
      <c r="K33" s="13"/>
      <c r="L33" s="13"/>
      <c r="M33" s="13"/>
      <c r="N33" s="13"/>
      <c r="O33" s="13"/>
    </row>
    <row r="34" spans="1:15" x14ac:dyDescent="0.35">
      <c r="A34" s="11" t="s">
        <v>386</v>
      </c>
      <c r="B34" s="13" t="s">
        <v>387</v>
      </c>
      <c r="C34" s="13" t="s">
        <v>388</v>
      </c>
      <c r="D34" s="13" t="s">
        <v>389</v>
      </c>
      <c r="E34" s="13" t="s">
        <v>390</v>
      </c>
      <c r="F34" s="13" t="s">
        <v>391</v>
      </c>
      <c r="G34" s="13" t="s">
        <v>392</v>
      </c>
      <c r="H34" s="13" t="s">
        <v>393</v>
      </c>
      <c r="I34" s="13" t="s">
        <v>394</v>
      </c>
      <c r="J34" s="13"/>
      <c r="K34" s="13"/>
      <c r="L34" s="13"/>
      <c r="M34" s="13"/>
      <c r="N34" s="13"/>
      <c r="O34" s="13"/>
    </row>
    <row r="35" spans="1:15" x14ac:dyDescent="0.35">
      <c r="A35" s="8" t="s">
        <v>407</v>
      </c>
      <c r="B35" s="12">
        <v>432</v>
      </c>
      <c r="C35" s="12">
        <v>235</v>
      </c>
      <c r="D35" s="12">
        <v>239</v>
      </c>
      <c r="E35" s="12">
        <v>176</v>
      </c>
      <c r="F35" s="12">
        <v>131</v>
      </c>
      <c r="G35" s="12">
        <v>129</v>
      </c>
      <c r="H35" s="12">
        <v>108</v>
      </c>
      <c r="I35" s="12">
        <v>80</v>
      </c>
      <c r="J35" s="12"/>
      <c r="K35" s="12"/>
      <c r="L35" s="12"/>
      <c r="M35" s="12"/>
      <c r="N35" s="12"/>
      <c r="O35" s="12"/>
    </row>
    <row r="36" spans="1:15" x14ac:dyDescent="0.35">
      <c r="A36" s="11" t="s">
        <v>408</v>
      </c>
      <c r="B36" s="13">
        <v>545</v>
      </c>
      <c r="C36" s="13">
        <v>359</v>
      </c>
      <c r="D36" s="13">
        <v>313</v>
      </c>
      <c r="E36" s="13">
        <v>240</v>
      </c>
      <c r="F36" s="13">
        <v>206</v>
      </c>
      <c r="G36" s="13">
        <v>202</v>
      </c>
      <c r="H36" s="13">
        <v>172</v>
      </c>
      <c r="I36" s="13">
        <v>107</v>
      </c>
      <c r="J36" s="13"/>
      <c r="K36" s="13"/>
      <c r="L36" s="13"/>
      <c r="M36" s="13"/>
      <c r="N36" s="13"/>
      <c r="O36" s="13"/>
    </row>
    <row r="37" spans="1:15" x14ac:dyDescent="0.35">
      <c r="A37" s="11" t="s">
        <v>409</v>
      </c>
      <c r="B37" s="13">
        <v>507</v>
      </c>
      <c r="C37" s="13">
        <v>386</v>
      </c>
      <c r="D37" s="13">
        <v>393</v>
      </c>
      <c r="E37" s="13">
        <v>340</v>
      </c>
      <c r="F37" s="13">
        <v>333</v>
      </c>
      <c r="G37" s="13">
        <v>301</v>
      </c>
      <c r="H37" s="13">
        <v>259</v>
      </c>
      <c r="I37" s="13">
        <v>191</v>
      </c>
      <c r="J37" s="13"/>
      <c r="K37" s="13"/>
      <c r="L37" s="13"/>
      <c r="M37" s="13"/>
      <c r="N37" s="13"/>
      <c r="O37" s="13"/>
    </row>
    <row r="38" spans="1:15" x14ac:dyDescent="0.35">
      <c r="A38" s="11" t="s">
        <v>410</v>
      </c>
      <c r="B38" s="13">
        <v>544</v>
      </c>
      <c r="C38" s="13">
        <v>391</v>
      </c>
      <c r="D38" s="13">
        <v>423</v>
      </c>
      <c r="E38" s="13">
        <v>398</v>
      </c>
      <c r="F38" s="13">
        <v>324</v>
      </c>
      <c r="G38" s="13">
        <v>332</v>
      </c>
      <c r="H38" s="13">
        <v>317</v>
      </c>
      <c r="I38" s="13">
        <v>283</v>
      </c>
      <c r="J38" s="13"/>
      <c r="K38" s="13"/>
      <c r="L38" s="13"/>
      <c r="M38" s="13"/>
      <c r="N38" s="13"/>
      <c r="O38" s="13"/>
    </row>
    <row r="39" spans="1:15" x14ac:dyDescent="0.35">
      <c r="A39" s="11" t="s">
        <v>411</v>
      </c>
      <c r="B39" s="13">
        <v>444</v>
      </c>
      <c r="C39" s="13">
        <v>355</v>
      </c>
      <c r="D39" s="13">
        <v>397</v>
      </c>
      <c r="E39" s="13">
        <v>403</v>
      </c>
      <c r="F39" s="13">
        <v>377</v>
      </c>
      <c r="G39" s="13">
        <v>342</v>
      </c>
      <c r="H39" s="13">
        <v>357</v>
      </c>
      <c r="I39" s="13">
        <v>316</v>
      </c>
      <c r="J39" s="13"/>
      <c r="K39" s="13"/>
      <c r="L39" s="13"/>
      <c r="M39" s="13"/>
      <c r="N39" s="13"/>
      <c r="O39" s="13"/>
    </row>
    <row r="40" spans="1:15" x14ac:dyDescent="0.35">
      <c r="A40" s="11" t="s">
        <v>412</v>
      </c>
      <c r="B40" s="13">
        <v>361</v>
      </c>
      <c r="C40" s="13">
        <v>269</v>
      </c>
      <c r="D40" s="13">
        <v>304</v>
      </c>
      <c r="E40" s="13">
        <v>333</v>
      </c>
      <c r="F40" s="13">
        <v>325</v>
      </c>
      <c r="G40" s="13">
        <v>301</v>
      </c>
      <c r="H40" s="13">
        <v>301</v>
      </c>
      <c r="I40" s="13">
        <v>252</v>
      </c>
      <c r="J40" s="13"/>
      <c r="K40" s="13"/>
      <c r="L40" s="13"/>
      <c r="M40" s="13"/>
      <c r="N40" s="13"/>
      <c r="O40" s="13"/>
    </row>
    <row r="41" spans="1:15" x14ac:dyDescent="0.35">
      <c r="A41" s="11" t="s">
        <v>395</v>
      </c>
      <c r="B41" s="13">
        <v>2833</v>
      </c>
      <c r="C41" s="13">
        <v>1995</v>
      </c>
      <c r="D41" s="13">
        <v>2069</v>
      </c>
      <c r="E41" s="13">
        <v>1890</v>
      </c>
      <c r="F41" s="13">
        <v>1696</v>
      </c>
      <c r="G41" s="13">
        <v>1607</v>
      </c>
      <c r="H41" s="13">
        <v>1514</v>
      </c>
      <c r="I41" s="13">
        <v>1229</v>
      </c>
      <c r="J41" s="13"/>
      <c r="K41" s="13"/>
      <c r="L41" s="13"/>
      <c r="M41" s="13"/>
      <c r="N41" s="13"/>
      <c r="O41" s="13"/>
    </row>
    <row r="42" spans="1:15" x14ac:dyDescent="0.35">
      <c r="A42" s="11"/>
      <c r="B42" s="13"/>
      <c r="C42" s="13"/>
      <c r="D42" s="13"/>
      <c r="E42" s="13"/>
      <c r="F42" s="13"/>
      <c r="G42" s="13"/>
      <c r="H42" s="13"/>
      <c r="I42" s="13"/>
      <c r="J42" s="13"/>
      <c r="K42" s="13"/>
      <c r="L42" s="13"/>
      <c r="M42" s="13"/>
      <c r="N42" s="13"/>
      <c r="O42" s="13"/>
    </row>
    <row r="43" spans="1:15" x14ac:dyDescent="0.35">
      <c r="A43" s="11"/>
      <c r="B43" s="13"/>
      <c r="C43" s="13"/>
      <c r="D43" s="13"/>
      <c r="E43" s="13"/>
      <c r="F43" s="13"/>
      <c r="G43" s="13"/>
      <c r="H43" s="13"/>
      <c r="I43" s="13"/>
      <c r="J43" s="13"/>
      <c r="K43" s="13"/>
      <c r="L43" s="13"/>
      <c r="M43" s="13"/>
      <c r="N43" s="13"/>
      <c r="O43" s="13"/>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156</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ht="29" x14ac:dyDescent="0.35">
      <c r="A5" s="8" t="s">
        <v>555</v>
      </c>
      <c r="B5" s="9"/>
      <c r="C5" s="9"/>
      <c r="D5" s="9"/>
      <c r="E5" s="9"/>
      <c r="F5" s="9"/>
      <c r="G5" s="9"/>
      <c r="H5" s="9"/>
      <c r="I5" s="9"/>
      <c r="J5" s="9"/>
      <c r="K5" s="9"/>
      <c r="L5" s="9"/>
      <c r="M5" s="9"/>
      <c r="N5" s="9"/>
      <c r="O5" s="9"/>
    </row>
    <row r="6" spans="1:15" x14ac:dyDescent="0.35">
      <c r="A6" s="10" t="s">
        <v>1</v>
      </c>
      <c r="B6" s="9"/>
      <c r="C6" s="9"/>
      <c r="D6" s="9"/>
      <c r="E6" s="9"/>
      <c r="F6" s="9"/>
      <c r="G6" s="9"/>
      <c r="H6" s="9"/>
      <c r="I6" s="9"/>
      <c r="J6" s="9"/>
      <c r="K6" s="9"/>
      <c r="L6" s="9"/>
      <c r="M6" s="9"/>
      <c r="N6" s="9"/>
      <c r="O6" s="9"/>
    </row>
    <row r="7" spans="1:15" ht="30" customHeight="1" x14ac:dyDescent="0.4">
      <c r="A7" s="5" t="s">
        <v>155</v>
      </c>
      <c r="B7" s="9"/>
      <c r="C7" s="9"/>
      <c r="D7" s="9"/>
      <c r="E7" s="9"/>
      <c r="F7" s="9"/>
      <c r="G7" s="9"/>
      <c r="H7" s="9"/>
      <c r="I7" s="9"/>
      <c r="J7" s="9"/>
      <c r="K7" s="9"/>
      <c r="L7" s="9"/>
      <c r="M7" s="9"/>
      <c r="N7" s="9"/>
      <c r="O7" s="9"/>
    </row>
    <row r="8" spans="1:15" x14ac:dyDescent="0.35">
      <c r="A8" s="11" t="s">
        <v>386</v>
      </c>
      <c r="B8" s="9" t="s">
        <v>387</v>
      </c>
      <c r="C8" s="9" t="s">
        <v>388</v>
      </c>
      <c r="D8" s="9" t="s">
        <v>389</v>
      </c>
      <c r="E8" s="9" t="s">
        <v>390</v>
      </c>
      <c r="F8" s="9" t="s">
        <v>391</v>
      </c>
      <c r="G8" s="9" t="s">
        <v>392</v>
      </c>
      <c r="H8" s="9" t="s">
        <v>393</v>
      </c>
      <c r="I8" s="9" t="s">
        <v>394</v>
      </c>
      <c r="J8" s="9"/>
      <c r="K8" s="9"/>
      <c r="L8" s="9"/>
      <c r="M8" s="9"/>
      <c r="N8" s="9"/>
      <c r="O8" s="9"/>
    </row>
    <row r="9" spans="1:15" x14ac:dyDescent="0.35">
      <c r="A9" s="8" t="s">
        <v>495</v>
      </c>
      <c r="B9" s="15">
        <v>0.56000000000000005</v>
      </c>
      <c r="C9" s="15">
        <v>0.56999999999999995</v>
      </c>
      <c r="D9" s="15">
        <v>0.51</v>
      </c>
      <c r="E9" s="15">
        <v>0.5</v>
      </c>
      <c r="F9" s="15">
        <v>0.49</v>
      </c>
      <c r="G9" s="15">
        <v>0.38</v>
      </c>
      <c r="H9" s="15">
        <v>0.43</v>
      </c>
      <c r="I9" s="15">
        <v>0.36</v>
      </c>
      <c r="J9" s="15"/>
      <c r="K9" s="15"/>
      <c r="L9" s="15"/>
      <c r="M9" s="15"/>
      <c r="N9" s="15"/>
      <c r="O9" s="15"/>
    </row>
    <row r="10" spans="1:15" x14ac:dyDescent="0.35">
      <c r="A10" s="11" t="s">
        <v>497</v>
      </c>
      <c r="B10" s="16">
        <v>0.51</v>
      </c>
      <c r="C10" s="16">
        <v>0.47</v>
      </c>
      <c r="D10" s="16">
        <v>0.47</v>
      </c>
      <c r="E10" s="16">
        <v>0.5</v>
      </c>
      <c r="F10" s="16">
        <v>0.45</v>
      </c>
      <c r="G10" s="16">
        <v>0.44</v>
      </c>
      <c r="H10" s="16">
        <v>0.47</v>
      </c>
      <c r="I10" s="16">
        <v>0.34</v>
      </c>
      <c r="J10" s="16"/>
      <c r="K10" s="16"/>
      <c r="L10" s="16"/>
      <c r="M10" s="16"/>
      <c r="N10" s="16"/>
      <c r="O10" s="16"/>
    </row>
    <row r="11" spans="1:15" x14ac:dyDescent="0.35">
      <c r="A11" s="11" t="s">
        <v>496</v>
      </c>
      <c r="B11" s="16">
        <v>0.42</v>
      </c>
      <c r="C11" s="16">
        <v>0.39</v>
      </c>
      <c r="D11" s="16">
        <v>0.47</v>
      </c>
      <c r="E11" s="16">
        <v>0.4</v>
      </c>
      <c r="F11" s="16">
        <v>0.39</v>
      </c>
      <c r="G11" s="16">
        <v>0.49</v>
      </c>
      <c r="H11" s="16">
        <v>0.4</v>
      </c>
      <c r="I11" s="16">
        <v>0.35</v>
      </c>
      <c r="J11" s="16"/>
      <c r="K11" s="16"/>
      <c r="L11" s="16"/>
      <c r="M11" s="16"/>
      <c r="N11" s="16"/>
      <c r="O11" s="16"/>
    </row>
    <row r="12" spans="1:15" x14ac:dyDescent="0.35">
      <c r="A12" s="11" t="s">
        <v>494</v>
      </c>
      <c r="B12" s="16">
        <v>0.28999999999999998</v>
      </c>
      <c r="C12" s="16">
        <v>0.26</v>
      </c>
      <c r="D12" s="16">
        <v>0.24</v>
      </c>
      <c r="E12" s="16">
        <v>0.3</v>
      </c>
      <c r="F12" s="16">
        <v>0.24</v>
      </c>
      <c r="G12" s="16">
        <v>0.2</v>
      </c>
      <c r="H12" s="16">
        <v>0.21</v>
      </c>
      <c r="I12" s="16">
        <v>0.12</v>
      </c>
      <c r="J12" s="16"/>
      <c r="K12" s="16"/>
      <c r="L12" s="16"/>
      <c r="M12" s="16"/>
      <c r="N12" s="16"/>
      <c r="O12" s="16"/>
    </row>
    <row r="13" spans="1:15" x14ac:dyDescent="0.35">
      <c r="A13" s="11" t="s">
        <v>493</v>
      </c>
      <c r="B13" s="16">
        <v>0.25</v>
      </c>
      <c r="C13" s="16">
        <v>0.21</v>
      </c>
      <c r="D13" s="16">
        <v>0.24</v>
      </c>
      <c r="E13" s="16">
        <v>0.26</v>
      </c>
      <c r="F13" s="16">
        <v>0.28000000000000003</v>
      </c>
      <c r="G13" s="16">
        <v>0.21</v>
      </c>
      <c r="H13" s="16">
        <v>0.18</v>
      </c>
      <c r="I13" s="16">
        <v>0.13</v>
      </c>
      <c r="J13" s="16"/>
      <c r="K13" s="16"/>
      <c r="L13" s="16"/>
      <c r="M13" s="16"/>
      <c r="N13" s="16"/>
      <c r="O13" s="16"/>
    </row>
    <row r="14" spans="1:15" x14ac:dyDescent="0.35">
      <c r="A14" s="11" t="s">
        <v>395</v>
      </c>
      <c r="B14" s="16">
        <v>0.36</v>
      </c>
      <c r="C14" s="16">
        <v>0.33</v>
      </c>
      <c r="D14" s="16">
        <v>0.33</v>
      </c>
      <c r="E14" s="16">
        <v>0.35</v>
      </c>
      <c r="F14" s="16">
        <v>0.34</v>
      </c>
      <c r="G14" s="16">
        <v>0.3</v>
      </c>
      <c r="H14" s="16">
        <v>0.28999999999999998</v>
      </c>
      <c r="I14" s="16">
        <v>0.22</v>
      </c>
      <c r="J14" s="16"/>
      <c r="K14" s="16"/>
      <c r="L14" s="16"/>
      <c r="M14" s="16"/>
      <c r="N14" s="16"/>
      <c r="O14" s="16"/>
    </row>
    <row r="15" spans="1:15" ht="30" customHeight="1" x14ac:dyDescent="0.4">
      <c r="A15" s="5" t="s">
        <v>152</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495</v>
      </c>
      <c r="B17" s="15">
        <v>0.2</v>
      </c>
      <c r="C17" s="15">
        <v>0.23</v>
      </c>
      <c r="D17" s="15">
        <v>0.2</v>
      </c>
      <c r="E17" s="15">
        <v>0.19</v>
      </c>
      <c r="F17" s="15">
        <v>0.21</v>
      </c>
      <c r="G17" s="15">
        <v>0.18</v>
      </c>
      <c r="H17" s="15">
        <v>0.21</v>
      </c>
      <c r="I17" s="15">
        <v>0.24</v>
      </c>
      <c r="J17" s="15"/>
      <c r="K17" s="15"/>
      <c r="L17" s="15"/>
      <c r="M17" s="15"/>
      <c r="N17" s="15"/>
      <c r="O17" s="15"/>
    </row>
    <row r="18" spans="1:15" x14ac:dyDescent="0.35">
      <c r="A18" s="11" t="s">
        <v>497</v>
      </c>
      <c r="B18" s="16">
        <v>0.27</v>
      </c>
      <c r="C18" s="16">
        <v>0.27</v>
      </c>
      <c r="D18" s="16">
        <v>0.23</v>
      </c>
      <c r="E18" s="16">
        <v>0.22</v>
      </c>
      <c r="F18" s="16">
        <v>0.23</v>
      </c>
      <c r="G18" s="16">
        <v>0.27</v>
      </c>
      <c r="H18" s="16">
        <v>0.28999999999999998</v>
      </c>
      <c r="I18" s="16">
        <v>0.3</v>
      </c>
      <c r="J18" s="16"/>
      <c r="K18" s="16"/>
      <c r="L18" s="16"/>
      <c r="M18" s="16"/>
      <c r="N18" s="16"/>
      <c r="O18" s="16"/>
    </row>
    <row r="19" spans="1:15" x14ac:dyDescent="0.35">
      <c r="A19" s="11" t="s">
        <v>496</v>
      </c>
      <c r="B19" s="16">
        <v>0.09</v>
      </c>
      <c r="C19" s="16">
        <v>0.09</v>
      </c>
      <c r="D19" s="16">
        <v>0.11</v>
      </c>
      <c r="E19" s="16">
        <v>0.1</v>
      </c>
      <c r="F19" s="16">
        <v>0.09</v>
      </c>
      <c r="G19" s="16">
        <v>0.15</v>
      </c>
      <c r="H19" s="16">
        <v>0.13</v>
      </c>
      <c r="I19" s="16">
        <v>0.13</v>
      </c>
      <c r="J19" s="16"/>
      <c r="K19" s="16"/>
      <c r="L19" s="16"/>
      <c r="M19" s="16"/>
      <c r="N19" s="16"/>
      <c r="O19" s="16"/>
    </row>
    <row r="20" spans="1:15" x14ac:dyDescent="0.35">
      <c r="A20" s="11" t="s">
        <v>494</v>
      </c>
      <c r="B20" s="16">
        <v>0.11</v>
      </c>
      <c r="C20" s="16">
        <v>0.1</v>
      </c>
      <c r="D20" s="16">
        <v>0.1</v>
      </c>
      <c r="E20" s="16">
        <v>0.12</v>
      </c>
      <c r="F20" s="16">
        <v>0.09</v>
      </c>
      <c r="G20" s="16">
        <v>0.08</v>
      </c>
      <c r="H20" s="16">
        <v>0.09</v>
      </c>
      <c r="I20" s="16">
        <v>7.0000000000000007E-2</v>
      </c>
      <c r="J20" s="16"/>
      <c r="K20" s="16"/>
      <c r="L20" s="16"/>
      <c r="M20" s="16"/>
      <c r="N20" s="16"/>
      <c r="O20" s="16"/>
    </row>
    <row r="21" spans="1:15" x14ac:dyDescent="0.35">
      <c r="A21" s="11" t="s">
        <v>493</v>
      </c>
      <c r="B21" s="16">
        <v>0.33</v>
      </c>
      <c r="C21" s="16">
        <v>0.31</v>
      </c>
      <c r="D21" s="16">
        <v>0.36</v>
      </c>
      <c r="E21" s="16">
        <v>0.37</v>
      </c>
      <c r="F21" s="16">
        <v>0.38</v>
      </c>
      <c r="G21" s="16">
        <v>0.33</v>
      </c>
      <c r="H21" s="16">
        <v>0.28000000000000003</v>
      </c>
      <c r="I21" s="16">
        <v>0.26</v>
      </c>
      <c r="J21" s="16"/>
      <c r="K21" s="16"/>
      <c r="L21" s="16"/>
      <c r="M21" s="16"/>
      <c r="N21" s="16"/>
      <c r="O21" s="16"/>
    </row>
    <row r="22" spans="1:15" x14ac:dyDescent="0.35">
      <c r="A22" s="11" t="s">
        <v>395</v>
      </c>
      <c r="B22" s="16">
        <v>1</v>
      </c>
      <c r="C22" s="16">
        <v>1</v>
      </c>
      <c r="D22" s="16">
        <v>1</v>
      </c>
      <c r="E22" s="16">
        <v>1</v>
      </c>
      <c r="F22" s="16">
        <v>1</v>
      </c>
      <c r="G22" s="16">
        <v>1</v>
      </c>
      <c r="H22" s="16">
        <v>1</v>
      </c>
      <c r="I22" s="16">
        <v>1</v>
      </c>
      <c r="J22" s="16"/>
      <c r="K22" s="16"/>
      <c r="L22" s="16"/>
      <c r="M22" s="16"/>
      <c r="N22" s="16"/>
      <c r="O22" s="16"/>
    </row>
    <row r="23" spans="1:15" ht="30" customHeight="1" x14ac:dyDescent="0.4">
      <c r="A23" s="5" t="s">
        <v>153</v>
      </c>
      <c r="B23" s="16"/>
      <c r="C23" s="16"/>
      <c r="D23" s="16"/>
      <c r="E23" s="16"/>
      <c r="F23" s="16"/>
      <c r="G23" s="16"/>
      <c r="H23" s="16"/>
      <c r="I23" s="16"/>
      <c r="J23" s="16"/>
      <c r="K23" s="16"/>
      <c r="L23" s="16"/>
      <c r="M23" s="16"/>
      <c r="N23" s="16"/>
      <c r="O23" s="16"/>
    </row>
    <row r="24" spans="1:15" x14ac:dyDescent="0.35">
      <c r="A24" s="11" t="s">
        <v>386</v>
      </c>
      <c r="B24" s="16" t="s">
        <v>387</v>
      </c>
      <c r="C24" s="16" t="s">
        <v>388</v>
      </c>
      <c r="D24" s="16" t="s">
        <v>389</v>
      </c>
      <c r="E24" s="16" t="s">
        <v>390</v>
      </c>
      <c r="F24" s="16" t="s">
        <v>391</v>
      </c>
      <c r="G24" s="16" t="s">
        <v>392</v>
      </c>
      <c r="H24" s="16" t="s">
        <v>393</v>
      </c>
      <c r="I24" s="16" t="s">
        <v>394</v>
      </c>
      <c r="J24" s="16"/>
      <c r="K24" s="16"/>
      <c r="L24" s="16"/>
      <c r="M24" s="16"/>
      <c r="N24" s="16"/>
      <c r="O24" s="16"/>
    </row>
    <row r="25" spans="1:15" x14ac:dyDescent="0.35">
      <c r="A25" s="8" t="s">
        <v>495</v>
      </c>
      <c r="B25" s="12">
        <v>50</v>
      </c>
      <c r="C25" s="12">
        <v>51</v>
      </c>
      <c r="D25" s="12">
        <v>53</v>
      </c>
      <c r="E25" s="12">
        <v>52</v>
      </c>
      <c r="F25" s="12">
        <v>57</v>
      </c>
      <c r="G25" s="12">
        <v>56</v>
      </c>
      <c r="H25" s="12">
        <v>56</v>
      </c>
      <c r="I25" s="12">
        <v>55</v>
      </c>
      <c r="J25" s="12"/>
      <c r="K25" s="12"/>
      <c r="L25" s="12"/>
      <c r="M25" s="12"/>
      <c r="N25" s="12"/>
      <c r="O25" s="12"/>
    </row>
    <row r="26" spans="1:15" x14ac:dyDescent="0.35">
      <c r="A26" s="11" t="s">
        <v>497</v>
      </c>
      <c r="B26" s="13">
        <v>34</v>
      </c>
      <c r="C26" s="13">
        <v>37</v>
      </c>
      <c r="D26" s="13">
        <v>37</v>
      </c>
      <c r="E26" s="13">
        <v>39</v>
      </c>
      <c r="F26" s="13">
        <v>40</v>
      </c>
      <c r="G26" s="13">
        <v>38</v>
      </c>
      <c r="H26" s="13">
        <v>44</v>
      </c>
      <c r="I26" s="13">
        <v>41</v>
      </c>
      <c r="J26" s="13"/>
      <c r="K26" s="13"/>
      <c r="L26" s="13"/>
      <c r="M26" s="13"/>
      <c r="N26" s="13"/>
      <c r="O26" s="13"/>
    </row>
    <row r="27" spans="1:15" x14ac:dyDescent="0.35">
      <c r="A27" s="11" t="s">
        <v>496</v>
      </c>
      <c r="B27" s="13">
        <v>32</v>
      </c>
      <c r="C27" s="13">
        <v>34</v>
      </c>
      <c r="D27" s="13">
        <v>33</v>
      </c>
      <c r="E27" s="13">
        <v>35</v>
      </c>
      <c r="F27" s="13">
        <v>36</v>
      </c>
      <c r="G27" s="13">
        <v>32</v>
      </c>
      <c r="H27" s="13">
        <v>35</v>
      </c>
      <c r="I27" s="13">
        <v>34</v>
      </c>
      <c r="J27" s="13"/>
      <c r="K27" s="13"/>
      <c r="L27" s="13"/>
      <c r="M27" s="13"/>
      <c r="N27" s="13"/>
      <c r="O27" s="13"/>
    </row>
    <row r="28" spans="1:15" x14ac:dyDescent="0.35">
      <c r="A28" s="11" t="s">
        <v>494</v>
      </c>
      <c r="B28" s="13">
        <v>74</v>
      </c>
      <c r="C28" s="13">
        <v>77</v>
      </c>
      <c r="D28" s="13">
        <v>73</v>
      </c>
      <c r="E28" s="13">
        <v>73</v>
      </c>
      <c r="F28" s="13">
        <v>74</v>
      </c>
      <c r="G28" s="13">
        <v>67</v>
      </c>
      <c r="H28" s="13">
        <v>72</v>
      </c>
      <c r="I28" s="13">
        <v>74</v>
      </c>
      <c r="J28" s="13"/>
      <c r="K28" s="13"/>
      <c r="L28" s="13"/>
      <c r="M28" s="13"/>
      <c r="N28" s="13"/>
      <c r="O28" s="13"/>
    </row>
    <row r="29" spans="1:15" x14ac:dyDescent="0.35">
      <c r="A29" s="11" t="s">
        <v>493</v>
      </c>
      <c r="B29" s="13">
        <v>46</v>
      </c>
      <c r="C29" s="13">
        <v>45</v>
      </c>
      <c r="D29" s="13">
        <v>46</v>
      </c>
      <c r="E29" s="13">
        <v>46</v>
      </c>
      <c r="F29" s="13">
        <v>47</v>
      </c>
      <c r="G29" s="13">
        <v>49</v>
      </c>
      <c r="H29" s="13">
        <v>47</v>
      </c>
      <c r="I29" s="13">
        <v>49</v>
      </c>
      <c r="J29" s="13"/>
      <c r="K29" s="13"/>
      <c r="L29" s="13"/>
      <c r="M29" s="13"/>
      <c r="N29" s="13"/>
      <c r="O29" s="13"/>
    </row>
    <row r="30" spans="1:15" x14ac:dyDescent="0.35">
      <c r="A30" s="11" t="s">
        <v>395</v>
      </c>
      <c r="B30" s="13">
        <v>45</v>
      </c>
      <c r="C30" s="13">
        <v>45</v>
      </c>
      <c r="D30" s="13">
        <v>46</v>
      </c>
      <c r="E30" s="13">
        <v>48</v>
      </c>
      <c r="F30" s="13">
        <v>48</v>
      </c>
      <c r="G30" s="13">
        <v>47</v>
      </c>
      <c r="H30" s="13">
        <v>49</v>
      </c>
      <c r="I30" s="13">
        <v>51</v>
      </c>
      <c r="J30" s="13"/>
      <c r="K30" s="13"/>
      <c r="L30" s="13"/>
      <c r="M30" s="13"/>
      <c r="N30" s="13"/>
      <c r="O30" s="13"/>
    </row>
    <row r="31" spans="1:15" ht="30" customHeight="1" x14ac:dyDescent="0.4">
      <c r="A31" s="5" t="s">
        <v>154</v>
      </c>
      <c r="B31" s="13"/>
      <c r="C31" s="13"/>
      <c r="D31" s="13"/>
      <c r="E31" s="13"/>
      <c r="F31" s="13"/>
      <c r="G31" s="13"/>
      <c r="H31" s="13"/>
      <c r="I31" s="13"/>
      <c r="J31" s="13"/>
      <c r="K31" s="13"/>
      <c r="L31" s="13"/>
      <c r="M31" s="13"/>
      <c r="N31" s="13"/>
      <c r="O31" s="13"/>
    </row>
    <row r="32" spans="1:15" x14ac:dyDescent="0.35">
      <c r="A32" s="11" t="s">
        <v>386</v>
      </c>
      <c r="B32" s="13" t="s">
        <v>387</v>
      </c>
      <c r="C32" s="13" t="s">
        <v>388</v>
      </c>
      <c r="D32" s="13" t="s">
        <v>389</v>
      </c>
      <c r="E32" s="13" t="s">
        <v>390</v>
      </c>
      <c r="F32" s="13" t="s">
        <v>391</v>
      </c>
      <c r="G32" s="13" t="s">
        <v>392</v>
      </c>
      <c r="H32" s="13" t="s">
        <v>393</v>
      </c>
      <c r="I32" s="13" t="s">
        <v>394</v>
      </c>
      <c r="J32" s="13"/>
      <c r="K32" s="13"/>
      <c r="L32" s="13"/>
      <c r="M32" s="13"/>
      <c r="N32" s="13"/>
      <c r="O32" s="13"/>
    </row>
    <row r="33" spans="1:15" x14ac:dyDescent="0.35">
      <c r="A33" s="8" t="s">
        <v>495</v>
      </c>
      <c r="B33" s="12">
        <v>378</v>
      </c>
      <c r="C33" s="12">
        <v>277</v>
      </c>
      <c r="D33" s="12">
        <v>282</v>
      </c>
      <c r="E33" s="12">
        <v>262</v>
      </c>
      <c r="F33" s="12">
        <v>239</v>
      </c>
      <c r="G33" s="12">
        <v>238</v>
      </c>
      <c r="H33" s="12">
        <v>215</v>
      </c>
      <c r="I33" s="12">
        <v>170</v>
      </c>
      <c r="J33" s="12"/>
      <c r="K33" s="12"/>
      <c r="L33" s="12"/>
      <c r="M33" s="12"/>
      <c r="N33" s="12"/>
      <c r="O33" s="12"/>
    </row>
    <row r="34" spans="1:15" x14ac:dyDescent="0.35">
      <c r="A34" s="11" t="s">
        <v>497</v>
      </c>
      <c r="B34" s="13">
        <v>501</v>
      </c>
      <c r="C34" s="13">
        <v>318</v>
      </c>
      <c r="D34" s="13">
        <v>312</v>
      </c>
      <c r="E34" s="13">
        <v>253</v>
      </c>
      <c r="F34" s="13">
        <v>251</v>
      </c>
      <c r="G34" s="13">
        <v>226</v>
      </c>
      <c r="H34" s="13">
        <v>206</v>
      </c>
      <c r="I34" s="13">
        <v>172</v>
      </c>
      <c r="J34" s="13"/>
      <c r="K34" s="13"/>
      <c r="L34" s="13"/>
      <c r="M34" s="13"/>
      <c r="N34" s="13"/>
      <c r="O34" s="13"/>
    </row>
    <row r="35" spans="1:15" x14ac:dyDescent="0.35">
      <c r="A35" s="11" t="s">
        <v>496</v>
      </c>
      <c r="B35" s="13">
        <v>195</v>
      </c>
      <c r="C35" s="13">
        <v>127</v>
      </c>
      <c r="D35" s="13">
        <v>142</v>
      </c>
      <c r="E35" s="13">
        <v>140</v>
      </c>
      <c r="F35" s="13">
        <v>125</v>
      </c>
      <c r="G35" s="13">
        <v>127</v>
      </c>
      <c r="H35" s="13">
        <v>99</v>
      </c>
      <c r="I35" s="13">
        <v>75</v>
      </c>
      <c r="J35" s="13"/>
      <c r="K35" s="13"/>
      <c r="L35" s="13"/>
      <c r="M35" s="13"/>
      <c r="N35" s="13"/>
      <c r="O35" s="13"/>
    </row>
    <row r="36" spans="1:15" x14ac:dyDescent="0.35">
      <c r="A36" s="11" t="s">
        <v>494</v>
      </c>
      <c r="B36" s="13">
        <v>374</v>
      </c>
      <c r="C36" s="13">
        <v>253</v>
      </c>
      <c r="D36" s="13">
        <v>282</v>
      </c>
      <c r="E36" s="13">
        <v>286</v>
      </c>
      <c r="F36" s="13">
        <v>243</v>
      </c>
      <c r="G36" s="13">
        <v>220</v>
      </c>
      <c r="H36" s="13">
        <v>245</v>
      </c>
      <c r="I36" s="13">
        <v>183</v>
      </c>
      <c r="J36" s="13"/>
      <c r="K36" s="13"/>
      <c r="L36" s="13"/>
      <c r="M36" s="13"/>
      <c r="N36" s="13"/>
      <c r="O36" s="13"/>
    </row>
    <row r="37" spans="1:15" x14ac:dyDescent="0.35">
      <c r="A37" s="11" t="s">
        <v>493</v>
      </c>
      <c r="B37" s="13">
        <v>1385</v>
      </c>
      <c r="C37" s="13">
        <v>1020</v>
      </c>
      <c r="D37" s="13">
        <v>1051</v>
      </c>
      <c r="E37" s="13">
        <v>949</v>
      </c>
      <c r="F37" s="13">
        <v>838</v>
      </c>
      <c r="G37" s="13">
        <v>796</v>
      </c>
      <c r="H37" s="13">
        <v>749</v>
      </c>
      <c r="I37" s="13">
        <v>629</v>
      </c>
      <c r="J37" s="13"/>
      <c r="K37" s="13"/>
      <c r="L37" s="13"/>
      <c r="M37" s="13"/>
      <c r="N37" s="13"/>
      <c r="O37" s="13"/>
    </row>
    <row r="38" spans="1:15" x14ac:dyDescent="0.35">
      <c r="A38" s="11" t="s">
        <v>395</v>
      </c>
      <c r="B38" s="13">
        <v>2833</v>
      </c>
      <c r="C38" s="13">
        <v>1995</v>
      </c>
      <c r="D38" s="13">
        <v>2069</v>
      </c>
      <c r="E38" s="13">
        <v>1890</v>
      </c>
      <c r="F38" s="13">
        <v>1696</v>
      </c>
      <c r="G38" s="13">
        <v>1607</v>
      </c>
      <c r="H38" s="13">
        <v>1514</v>
      </c>
      <c r="I38" s="13">
        <v>1229</v>
      </c>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13"/>
      <c r="C40" s="13"/>
      <c r="D40" s="13"/>
      <c r="E40" s="13"/>
      <c r="F40" s="13"/>
      <c r="G40" s="13"/>
      <c r="H40" s="13"/>
      <c r="I40" s="13"/>
      <c r="J40" s="13"/>
      <c r="K40" s="13"/>
      <c r="L40" s="13"/>
      <c r="M40" s="13"/>
      <c r="N40" s="13"/>
      <c r="O40" s="13"/>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161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160</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556</v>
      </c>
      <c r="B8" s="15">
        <v>0.5</v>
      </c>
      <c r="C8" s="15">
        <v>0.43</v>
      </c>
      <c r="D8" s="15">
        <v>0.45</v>
      </c>
      <c r="E8" s="15">
        <v>0.49</v>
      </c>
      <c r="F8" s="15">
        <v>0.51</v>
      </c>
      <c r="G8" s="15">
        <v>0.43</v>
      </c>
      <c r="H8" s="15">
        <v>0.36</v>
      </c>
      <c r="I8" s="15">
        <v>0.28999999999999998</v>
      </c>
      <c r="J8" s="15"/>
      <c r="K8" s="15"/>
      <c r="L8" s="15"/>
      <c r="M8" s="15"/>
      <c r="N8" s="15"/>
      <c r="O8" s="15"/>
    </row>
    <row r="9" spans="1:15" x14ac:dyDescent="0.35">
      <c r="A9" s="11" t="s">
        <v>557</v>
      </c>
      <c r="B9" s="16">
        <v>0.31</v>
      </c>
      <c r="C9" s="16">
        <v>0.28999999999999998</v>
      </c>
      <c r="D9" s="16">
        <v>0.28000000000000003</v>
      </c>
      <c r="E9" s="16">
        <v>0.28999999999999998</v>
      </c>
      <c r="F9" s="16">
        <v>0.28999999999999998</v>
      </c>
      <c r="G9" s="16">
        <v>0.26</v>
      </c>
      <c r="H9" s="16">
        <v>0.27</v>
      </c>
      <c r="I9" s="16">
        <v>0.2</v>
      </c>
      <c r="J9" s="16"/>
      <c r="K9" s="16"/>
      <c r="L9" s="16"/>
      <c r="M9" s="16"/>
      <c r="N9" s="16"/>
      <c r="O9" s="16"/>
    </row>
    <row r="10" spans="1:15" x14ac:dyDescent="0.35">
      <c r="A10" s="11" t="s">
        <v>395</v>
      </c>
      <c r="B10" s="16">
        <v>0.36</v>
      </c>
      <c r="C10" s="16">
        <v>0.33</v>
      </c>
      <c r="D10" s="16">
        <v>0.33</v>
      </c>
      <c r="E10" s="16">
        <v>0.35</v>
      </c>
      <c r="F10" s="16">
        <v>0.34</v>
      </c>
      <c r="G10" s="16">
        <v>0.3</v>
      </c>
      <c r="H10" s="16">
        <v>0.28999999999999998</v>
      </c>
      <c r="I10" s="16">
        <v>0.22</v>
      </c>
      <c r="J10" s="16"/>
      <c r="K10" s="16"/>
      <c r="L10" s="16"/>
      <c r="M10" s="16"/>
      <c r="N10" s="16"/>
      <c r="O10" s="16"/>
    </row>
    <row r="11" spans="1:15" ht="30" customHeight="1" x14ac:dyDescent="0.4">
      <c r="A11" s="5" t="s">
        <v>157</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556</v>
      </c>
      <c r="B13" s="15">
        <v>0.36</v>
      </c>
      <c r="C13" s="15">
        <v>0.35</v>
      </c>
      <c r="D13" s="15">
        <v>0.36</v>
      </c>
      <c r="E13" s="15">
        <v>0.38</v>
      </c>
      <c r="F13" s="15">
        <v>0.38</v>
      </c>
      <c r="G13" s="15">
        <v>0.37</v>
      </c>
      <c r="H13" s="15">
        <v>0.3</v>
      </c>
      <c r="I13" s="15">
        <v>0.28999999999999998</v>
      </c>
      <c r="J13" s="15"/>
      <c r="K13" s="15"/>
      <c r="L13" s="15"/>
      <c r="M13" s="15"/>
      <c r="N13" s="15"/>
      <c r="O13" s="15"/>
    </row>
    <row r="14" spans="1:15" x14ac:dyDescent="0.35">
      <c r="A14" s="11" t="s">
        <v>557</v>
      </c>
      <c r="B14" s="16">
        <v>0.64</v>
      </c>
      <c r="C14" s="16">
        <v>0.65</v>
      </c>
      <c r="D14" s="16">
        <v>0.64</v>
      </c>
      <c r="E14" s="16">
        <v>0.62</v>
      </c>
      <c r="F14" s="16">
        <v>0.62</v>
      </c>
      <c r="G14" s="16">
        <v>0.63</v>
      </c>
      <c r="H14" s="16">
        <v>0.7</v>
      </c>
      <c r="I14" s="16">
        <v>0.71</v>
      </c>
      <c r="J14" s="16"/>
      <c r="K14" s="16"/>
      <c r="L14" s="16"/>
      <c r="M14" s="16"/>
      <c r="N14" s="16"/>
      <c r="O14" s="16"/>
    </row>
    <row r="15" spans="1:15" x14ac:dyDescent="0.35">
      <c r="A15" s="11" t="s">
        <v>395</v>
      </c>
      <c r="B15" s="16">
        <v>1</v>
      </c>
      <c r="C15" s="16">
        <v>1</v>
      </c>
      <c r="D15" s="16">
        <v>1</v>
      </c>
      <c r="E15" s="16">
        <v>1</v>
      </c>
      <c r="F15" s="16">
        <v>1</v>
      </c>
      <c r="G15" s="16">
        <v>1</v>
      </c>
      <c r="H15" s="16">
        <v>1</v>
      </c>
      <c r="I15" s="16">
        <v>1</v>
      </c>
      <c r="J15" s="16"/>
      <c r="K15" s="16"/>
      <c r="L15" s="16"/>
      <c r="M15" s="16"/>
      <c r="N15" s="16"/>
      <c r="O15" s="16"/>
    </row>
    <row r="16" spans="1:15" ht="30" customHeight="1" x14ac:dyDescent="0.4">
      <c r="A16" s="5" t="s">
        <v>158</v>
      </c>
      <c r="B16" s="16"/>
      <c r="C16" s="16"/>
      <c r="D16" s="16"/>
      <c r="E16" s="16"/>
      <c r="F16" s="16"/>
      <c r="G16" s="16"/>
      <c r="H16" s="16"/>
      <c r="I16" s="16"/>
      <c r="J16" s="16"/>
      <c r="K16" s="16"/>
      <c r="L16" s="16"/>
      <c r="M16" s="16"/>
      <c r="N16" s="16"/>
      <c r="O16" s="16"/>
    </row>
    <row r="17" spans="1:15" x14ac:dyDescent="0.35">
      <c r="A17" s="11" t="s">
        <v>386</v>
      </c>
      <c r="B17" s="16" t="s">
        <v>387</v>
      </c>
      <c r="C17" s="16" t="s">
        <v>388</v>
      </c>
      <c r="D17" s="16" t="s">
        <v>389</v>
      </c>
      <c r="E17" s="16" t="s">
        <v>390</v>
      </c>
      <c r="F17" s="16" t="s">
        <v>391</v>
      </c>
      <c r="G17" s="16" t="s">
        <v>392</v>
      </c>
      <c r="H17" s="16" t="s">
        <v>393</v>
      </c>
      <c r="I17" s="16" t="s">
        <v>394</v>
      </c>
      <c r="J17" s="16"/>
      <c r="K17" s="16"/>
      <c r="L17" s="16"/>
      <c r="M17" s="16"/>
      <c r="N17" s="16"/>
      <c r="O17" s="16"/>
    </row>
    <row r="18" spans="1:15" x14ac:dyDescent="0.35">
      <c r="A18" s="8" t="s">
        <v>556</v>
      </c>
      <c r="B18" s="12">
        <v>40</v>
      </c>
      <c r="C18" s="12">
        <v>40</v>
      </c>
      <c r="D18" s="12">
        <v>38</v>
      </c>
      <c r="E18" s="12">
        <v>39</v>
      </c>
      <c r="F18" s="12">
        <v>40</v>
      </c>
      <c r="G18" s="12">
        <v>40</v>
      </c>
      <c r="H18" s="12">
        <v>39</v>
      </c>
      <c r="I18" s="12">
        <v>38</v>
      </c>
      <c r="J18" s="12"/>
      <c r="K18" s="12"/>
      <c r="L18" s="12"/>
      <c r="M18" s="12"/>
      <c r="N18" s="12"/>
      <c r="O18" s="12"/>
    </row>
    <row r="19" spans="1:15" x14ac:dyDescent="0.35">
      <c r="A19" s="11" t="s">
        <v>557</v>
      </c>
      <c r="B19" s="13">
        <v>53</v>
      </c>
      <c r="C19" s="13">
        <v>53</v>
      </c>
      <c r="D19" s="13">
        <v>56</v>
      </c>
      <c r="E19" s="13">
        <v>57</v>
      </c>
      <c r="F19" s="13">
        <v>57</v>
      </c>
      <c r="G19" s="13">
        <v>52</v>
      </c>
      <c r="H19" s="13">
        <v>53</v>
      </c>
      <c r="I19" s="13">
        <v>56</v>
      </c>
      <c r="J19" s="13"/>
      <c r="K19" s="13"/>
      <c r="L19" s="13"/>
      <c r="M19" s="13"/>
      <c r="N19" s="13"/>
      <c r="O19" s="13"/>
    </row>
    <row r="20" spans="1:15" x14ac:dyDescent="0.35">
      <c r="A20" s="11" t="s">
        <v>395</v>
      </c>
      <c r="B20" s="13">
        <v>45</v>
      </c>
      <c r="C20" s="13">
        <v>45</v>
      </c>
      <c r="D20" s="13">
        <v>46</v>
      </c>
      <c r="E20" s="13">
        <v>48</v>
      </c>
      <c r="F20" s="13">
        <v>48</v>
      </c>
      <c r="G20" s="13">
        <v>47</v>
      </c>
      <c r="H20" s="13">
        <v>49</v>
      </c>
      <c r="I20" s="13">
        <v>51</v>
      </c>
      <c r="J20" s="13"/>
      <c r="K20" s="13"/>
      <c r="L20" s="13"/>
      <c r="M20" s="13"/>
      <c r="N20" s="13"/>
      <c r="O20" s="13"/>
    </row>
    <row r="21" spans="1:15" ht="30" customHeight="1" x14ac:dyDescent="0.4">
      <c r="A21" s="5" t="s">
        <v>159</v>
      </c>
      <c r="B21" s="13"/>
      <c r="C21" s="13"/>
      <c r="D21" s="13"/>
      <c r="E21" s="13"/>
      <c r="F21" s="13"/>
      <c r="G21" s="13"/>
      <c r="H21" s="13"/>
      <c r="I21" s="13"/>
      <c r="J21" s="13"/>
      <c r="K21" s="13"/>
      <c r="L21" s="13"/>
      <c r="M21" s="13"/>
      <c r="N21" s="13"/>
      <c r="O21" s="13"/>
    </row>
    <row r="22" spans="1:15" x14ac:dyDescent="0.35">
      <c r="A22" s="11" t="s">
        <v>386</v>
      </c>
      <c r="B22" s="13" t="s">
        <v>387</v>
      </c>
      <c r="C22" s="13" t="s">
        <v>388</v>
      </c>
      <c r="D22" s="13" t="s">
        <v>389</v>
      </c>
      <c r="E22" s="13" t="s">
        <v>390</v>
      </c>
      <c r="F22" s="13" t="s">
        <v>391</v>
      </c>
      <c r="G22" s="13" t="s">
        <v>392</v>
      </c>
      <c r="H22" s="13" t="s">
        <v>393</v>
      </c>
      <c r="I22" s="13" t="s">
        <v>394</v>
      </c>
      <c r="J22" s="13"/>
      <c r="K22" s="13"/>
      <c r="L22" s="13"/>
      <c r="M22" s="13"/>
      <c r="N22" s="13"/>
      <c r="O22" s="13"/>
    </row>
    <row r="23" spans="1:15" x14ac:dyDescent="0.35">
      <c r="A23" s="8" t="s">
        <v>556</v>
      </c>
      <c r="B23" s="12">
        <v>721</v>
      </c>
      <c r="C23" s="12">
        <v>513</v>
      </c>
      <c r="D23" s="12">
        <v>496</v>
      </c>
      <c r="E23" s="12">
        <v>430</v>
      </c>
      <c r="F23" s="12">
        <v>361</v>
      </c>
      <c r="G23" s="12">
        <v>338</v>
      </c>
      <c r="H23" s="12">
        <v>287</v>
      </c>
      <c r="I23" s="12">
        <v>187</v>
      </c>
      <c r="J23" s="12"/>
      <c r="K23" s="12"/>
      <c r="L23" s="12"/>
      <c r="M23" s="12"/>
      <c r="N23" s="12"/>
      <c r="O23" s="12"/>
    </row>
    <row r="24" spans="1:15" x14ac:dyDescent="0.35">
      <c r="A24" s="11" t="s">
        <v>557</v>
      </c>
      <c r="B24" s="13">
        <v>2112</v>
      </c>
      <c r="C24" s="13">
        <v>1482</v>
      </c>
      <c r="D24" s="13">
        <v>1573</v>
      </c>
      <c r="E24" s="13">
        <v>1460</v>
      </c>
      <c r="F24" s="13">
        <v>1335</v>
      </c>
      <c r="G24" s="13">
        <v>1269</v>
      </c>
      <c r="H24" s="13">
        <v>1227</v>
      </c>
      <c r="I24" s="13">
        <v>1042</v>
      </c>
      <c r="J24" s="13"/>
      <c r="K24" s="13"/>
      <c r="L24" s="13"/>
      <c r="M24" s="13"/>
      <c r="N24" s="13"/>
      <c r="O24" s="13"/>
    </row>
    <row r="25" spans="1:15" x14ac:dyDescent="0.35">
      <c r="A25" s="11" t="s">
        <v>395</v>
      </c>
      <c r="B25" s="13">
        <v>2833</v>
      </c>
      <c r="C25" s="13">
        <v>1995</v>
      </c>
      <c r="D25" s="13">
        <v>2069</v>
      </c>
      <c r="E25" s="13">
        <v>1890</v>
      </c>
      <c r="F25" s="13">
        <v>1696</v>
      </c>
      <c r="G25" s="13">
        <v>1607</v>
      </c>
      <c r="H25" s="13">
        <v>1514</v>
      </c>
      <c r="I25" s="13">
        <v>1229</v>
      </c>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165</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164</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558</v>
      </c>
      <c r="B8" s="15">
        <v>0.45</v>
      </c>
      <c r="C8" s="15">
        <v>0.44</v>
      </c>
      <c r="D8" s="15">
        <v>0.42</v>
      </c>
      <c r="E8" s="15">
        <v>0.44</v>
      </c>
      <c r="F8" s="15">
        <v>0.43</v>
      </c>
      <c r="G8" s="15">
        <v>0.36</v>
      </c>
      <c r="H8" s="15">
        <v>0.38</v>
      </c>
      <c r="I8" s="15" t="s">
        <v>502</v>
      </c>
      <c r="J8" s="15"/>
      <c r="K8" s="15"/>
      <c r="L8" s="15"/>
      <c r="M8" s="15"/>
      <c r="N8" s="15"/>
      <c r="O8" s="15"/>
    </row>
    <row r="9" spans="1:15" x14ac:dyDescent="0.35">
      <c r="A9" s="11" t="s">
        <v>559</v>
      </c>
      <c r="B9" s="16">
        <v>0.32</v>
      </c>
      <c r="C9" s="16">
        <v>0.28000000000000003</v>
      </c>
      <c r="D9" s="16">
        <v>0.28999999999999998</v>
      </c>
      <c r="E9" s="16">
        <v>0.3</v>
      </c>
      <c r="F9" s="16">
        <v>0.3</v>
      </c>
      <c r="G9" s="16">
        <v>0.27</v>
      </c>
      <c r="H9" s="16">
        <v>0.25</v>
      </c>
      <c r="I9" s="16" t="s">
        <v>502</v>
      </c>
      <c r="J9" s="16"/>
      <c r="K9" s="16"/>
      <c r="L9" s="16"/>
      <c r="M9" s="16"/>
      <c r="N9" s="16"/>
      <c r="O9" s="16"/>
    </row>
    <row r="10" spans="1:15" x14ac:dyDescent="0.35">
      <c r="A10" s="11" t="s">
        <v>395</v>
      </c>
      <c r="B10" s="16">
        <v>0.36</v>
      </c>
      <c r="C10" s="16">
        <v>0.33</v>
      </c>
      <c r="D10" s="16">
        <v>0.33</v>
      </c>
      <c r="E10" s="16">
        <v>0.35</v>
      </c>
      <c r="F10" s="16">
        <v>0.34</v>
      </c>
      <c r="G10" s="16">
        <v>0.3</v>
      </c>
      <c r="H10" s="16">
        <v>0.28999999999999998</v>
      </c>
      <c r="I10" s="16" t="s">
        <v>502</v>
      </c>
      <c r="J10" s="16"/>
      <c r="K10" s="16"/>
      <c r="L10" s="16"/>
      <c r="M10" s="16"/>
      <c r="N10" s="16"/>
      <c r="O10" s="16"/>
    </row>
    <row r="11" spans="1:15" ht="30" customHeight="1" x14ac:dyDescent="0.4">
      <c r="A11" s="5" t="s">
        <v>162</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558</v>
      </c>
      <c r="B13" s="15">
        <v>0.38</v>
      </c>
      <c r="C13" s="15">
        <v>0.4</v>
      </c>
      <c r="D13" s="15">
        <v>0.39</v>
      </c>
      <c r="E13" s="15">
        <v>0.41</v>
      </c>
      <c r="F13" s="15">
        <v>0.42</v>
      </c>
      <c r="G13" s="15">
        <v>0.4</v>
      </c>
      <c r="H13" s="15">
        <v>0.46</v>
      </c>
      <c r="I13" s="15" t="s">
        <v>502</v>
      </c>
      <c r="J13" s="15"/>
      <c r="K13" s="15"/>
      <c r="L13" s="15"/>
      <c r="M13" s="15"/>
      <c r="N13" s="15"/>
      <c r="O13" s="15"/>
    </row>
    <row r="14" spans="1:15" x14ac:dyDescent="0.35">
      <c r="A14" s="11" t="s">
        <v>559</v>
      </c>
      <c r="B14" s="16">
        <v>0.62</v>
      </c>
      <c r="C14" s="16">
        <v>0.6</v>
      </c>
      <c r="D14" s="16">
        <v>0.61</v>
      </c>
      <c r="E14" s="16">
        <v>0.59</v>
      </c>
      <c r="F14" s="16">
        <v>0.57999999999999996</v>
      </c>
      <c r="G14" s="16">
        <v>0.6</v>
      </c>
      <c r="H14" s="16">
        <v>0.54</v>
      </c>
      <c r="I14" s="16" t="s">
        <v>502</v>
      </c>
      <c r="J14" s="16"/>
      <c r="K14" s="16"/>
      <c r="L14" s="16"/>
      <c r="M14" s="16"/>
      <c r="N14" s="16"/>
      <c r="O14" s="16"/>
    </row>
    <row r="15" spans="1:15" x14ac:dyDescent="0.35">
      <c r="A15" s="11" t="s">
        <v>395</v>
      </c>
      <c r="B15" s="16">
        <v>1</v>
      </c>
      <c r="C15" s="16">
        <v>1</v>
      </c>
      <c r="D15" s="16">
        <v>1</v>
      </c>
      <c r="E15" s="16">
        <v>1</v>
      </c>
      <c r="F15" s="16">
        <v>1</v>
      </c>
      <c r="G15" s="16">
        <v>1</v>
      </c>
      <c r="H15" s="16">
        <v>1</v>
      </c>
      <c r="I15" s="16" t="s">
        <v>502</v>
      </c>
      <c r="J15" s="16"/>
      <c r="K15" s="16"/>
      <c r="L15" s="16"/>
      <c r="M15" s="16"/>
      <c r="N15" s="16"/>
      <c r="O15" s="16"/>
    </row>
    <row r="16" spans="1:15" ht="30" customHeight="1" x14ac:dyDescent="0.4">
      <c r="A16" s="5" t="s">
        <v>163</v>
      </c>
      <c r="B16" s="16"/>
      <c r="C16" s="16"/>
      <c r="D16" s="16"/>
      <c r="E16" s="16"/>
      <c r="F16" s="16"/>
      <c r="G16" s="16"/>
      <c r="H16" s="16"/>
      <c r="I16" s="16"/>
      <c r="J16" s="16"/>
      <c r="K16" s="16"/>
      <c r="L16" s="16"/>
      <c r="M16" s="16"/>
      <c r="N16" s="16"/>
      <c r="O16" s="16"/>
    </row>
    <row r="17" spans="1:15" x14ac:dyDescent="0.35">
      <c r="A17" s="11" t="s">
        <v>386</v>
      </c>
      <c r="B17" s="16" t="s">
        <v>387</v>
      </c>
      <c r="C17" s="16" t="s">
        <v>388</v>
      </c>
      <c r="D17" s="16" t="s">
        <v>389</v>
      </c>
      <c r="E17" s="16" t="s">
        <v>390</v>
      </c>
      <c r="F17" s="16" t="s">
        <v>391</v>
      </c>
      <c r="G17" s="16" t="s">
        <v>392</v>
      </c>
      <c r="H17" s="16" t="s">
        <v>393</v>
      </c>
      <c r="I17" s="16" t="s">
        <v>394</v>
      </c>
      <c r="J17" s="16"/>
      <c r="K17" s="16"/>
      <c r="L17" s="16"/>
      <c r="M17" s="16"/>
      <c r="N17" s="16"/>
      <c r="O17" s="16"/>
    </row>
    <row r="18" spans="1:15" x14ac:dyDescent="0.35">
      <c r="A18" s="8" t="s">
        <v>558</v>
      </c>
      <c r="B18" s="12">
        <v>53</v>
      </c>
      <c r="C18" s="12">
        <v>54</v>
      </c>
      <c r="D18" s="12">
        <v>56</v>
      </c>
      <c r="E18" s="12">
        <v>55</v>
      </c>
      <c r="F18" s="12">
        <v>57</v>
      </c>
      <c r="G18" s="12">
        <v>54</v>
      </c>
      <c r="H18" s="12">
        <v>54</v>
      </c>
      <c r="I18" s="12" t="s">
        <v>502</v>
      </c>
      <c r="J18" s="12"/>
      <c r="K18" s="12"/>
      <c r="L18" s="12"/>
      <c r="M18" s="12"/>
      <c r="N18" s="12"/>
      <c r="O18" s="12"/>
    </row>
    <row r="19" spans="1:15" x14ac:dyDescent="0.35">
      <c r="A19" s="11" t="s">
        <v>559</v>
      </c>
      <c r="B19" s="13">
        <v>41</v>
      </c>
      <c r="C19" s="13">
        <v>42</v>
      </c>
      <c r="D19" s="13">
        <v>42</v>
      </c>
      <c r="E19" s="13">
        <v>44</v>
      </c>
      <c r="F19" s="13">
        <v>43</v>
      </c>
      <c r="G19" s="13">
        <v>42</v>
      </c>
      <c r="H19" s="13">
        <v>43</v>
      </c>
      <c r="I19" s="13" t="s">
        <v>502</v>
      </c>
      <c r="J19" s="13"/>
      <c r="K19" s="13"/>
      <c r="L19" s="13"/>
      <c r="M19" s="13"/>
      <c r="N19" s="13"/>
      <c r="O19" s="13"/>
    </row>
    <row r="20" spans="1:15" x14ac:dyDescent="0.35">
      <c r="A20" s="11" t="s">
        <v>395</v>
      </c>
      <c r="B20" s="13">
        <v>45</v>
      </c>
      <c r="C20" s="13">
        <v>45</v>
      </c>
      <c r="D20" s="13">
        <v>46</v>
      </c>
      <c r="E20" s="13">
        <v>48</v>
      </c>
      <c r="F20" s="13">
        <v>48</v>
      </c>
      <c r="G20" s="13">
        <v>47</v>
      </c>
      <c r="H20" s="13">
        <v>49</v>
      </c>
      <c r="I20" s="13" t="s">
        <v>502</v>
      </c>
      <c r="J20" s="13"/>
      <c r="K20" s="13"/>
      <c r="L20" s="13"/>
      <c r="M20" s="13"/>
      <c r="N20" s="13"/>
      <c r="O20" s="13"/>
    </row>
    <row r="21" spans="1:15" ht="30" customHeight="1" x14ac:dyDescent="0.4">
      <c r="A21" s="5" t="s">
        <v>380</v>
      </c>
      <c r="B21" s="13"/>
      <c r="C21" s="13"/>
      <c r="D21" s="13"/>
      <c r="E21" s="13"/>
      <c r="F21" s="13"/>
      <c r="G21" s="13"/>
      <c r="H21" s="13"/>
      <c r="I21" s="13"/>
      <c r="J21" s="13"/>
      <c r="K21" s="13"/>
      <c r="L21" s="13"/>
      <c r="M21" s="13"/>
      <c r="N21" s="13"/>
      <c r="O21" s="13"/>
    </row>
    <row r="22" spans="1:15" x14ac:dyDescent="0.35">
      <c r="A22" s="11" t="s">
        <v>386</v>
      </c>
      <c r="B22" s="13" t="s">
        <v>387</v>
      </c>
      <c r="C22" s="13" t="s">
        <v>388</v>
      </c>
      <c r="D22" s="13" t="s">
        <v>389</v>
      </c>
      <c r="E22" s="13" t="s">
        <v>390</v>
      </c>
      <c r="F22" s="13" t="s">
        <v>391</v>
      </c>
      <c r="G22" s="13" t="s">
        <v>392</v>
      </c>
      <c r="H22" s="13" t="s">
        <v>393</v>
      </c>
      <c r="I22" s="13" t="s">
        <v>394</v>
      </c>
      <c r="J22" s="13"/>
      <c r="K22" s="13"/>
      <c r="L22" s="13"/>
      <c r="M22" s="13"/>
      <c r="N22" s="13"/>
      <c r="O22" s="13"/>
    </row>
    <row r="23" spans="1:15" x14ac:dyDescent="0.35">
      <c r="A23" s="8" t="s">
        <v>558</v>
      </c>
      <c r="B23" s="12">
        <v>861</v>
      </c>
      <c r="C23" s="12">
        <v>613</v>
      </c>
      <c r="D23" s="12">
        <v>645</v>
      </c>
      <c r="E23" s="12">
        <v>626</v>
      </c>
      <c r="F23" s="12">
        <v>562</v>
      </c>
      <c r="G23" s="12">
        <v>574</v>
      </c>
      <c r="H23" s="12">
        <v>538</v>
      </c>
      <c r="I23" s="12" t="s">
        <v>502</v>
      </c>
      <c r="J23" s="12"/>
      <c r="K23" s="12"/>
      <c r="L23" s="12"/>
      <c r="M23" s="12"/>
      <c r="N23" s="12"/>
      <c r="O23" s="12"/>
    </row>
    <row r="24" spans="1:15" x14ac:dyDescent="0.35">
      <c r="A24" s="11" t="s">
        <v>559</v>
      </c>
      <c r="B24" s="13">
        <v>1972</v>
      </c>
      <c r="C24" s="13">
        <v>1382</v>
      </c>
      <c r="D24" s="13">
        <v>1424</v>
      </c>
      <c r="E24" s="13">
        <v>1264</v>
      </c>
      <c r="F24" s="13">
        <v>1134</v>
      </c>
      <c r="G24" s="13">
        <v>1033</v>
      </c>
      <c r="H24" s="13">
        <v>976</v>
      </c>
      <c r="I24" s="13" t="s">
        <v>502</v>
      </c>
      <c r="J24" s="13"/>
      <c r="K24" s="13"/>
      <c r="L24" s="13"/>
      <c r="M24" s="13"/>
      <c r="N24" s="13"/>
      <c r="O24" s="13"/>
    </row>
    <row r="25" spans="1:15" x14ac:dyDescent="0.35">
      <c r="A25" s="11" t="s">
        <v>395</v>
      </c>
      <c r="B25" s="13">
        <v>2833</v>
      </c>
      <c r="C25" s="13">
        <v>1995</v>
      </c>
      <c r="D25" s="13">
        <v>2069</v>
      </c>
      <c r="E25" s="13">
        <v>1890</v>
      </c>
      <c r="F25" s="13">
        <v>1696</v>
      </c>
      <c r="G25" s="13">
        <v>1607</v>
      </c>
      <c r="H25" s="13">
        <v>1514</v>
      </c>
      <c r="I25" s="13" t="s">
        <v>502</v>
      </c>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170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x14ac:dyDescent="0.35">
      <c r="A5" s="10" t="s">
        <v>1</v>
      </c>
      <c r="B5" s="9"/>
      <c r="C5" s="9"/>
      <c r="D5" s="9"/>
      <c r="E5" s="9"/>
      <c r="F5" s="9"/>
      <c r="G5" s="9"/>
      <c r="H5" s="9"/>
      <c r="I5" s="9"/>
      <c r="J5" s="9"/>
      <c r="K5" s="9"/>
      <c r="L5" s="9"/>
      <c r="M5" s="9"/>
      <c r="N5" s="9"/>
      <c r="O5" s="9"/>
    </row>
    <row r="6" spans="1:15" ht="30" customHeight="1" x14ac:dyDescent="0.4">
      <c r="A6" s="5" t="s">
        <v>169</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560</v>
      </c>
      <c r="B8" s="15">
        <v>0.45</v>
      </c>
      <c r="C8" s="15">
        <v>0.39</v>
      </c>
      <c r="D8" s="15">
        <v>0.38</v>
      </c>
      <c r="E8" s="15">
        <v>0.4</v>
      </c>
      <c r="F8" s="15">
        <v>0.41</v>
      </c>
      <c r="G8" s="15">
        <v>0.35</v>
      </c>
      <c r="H8" s="15">
        <v>0.34</v>
      </c>
      <c r="I8" s="15">
        <v>0.27</v>
      </c>
      <c r="J8" s="15"/>
      <c r="K8" s="15"/>
      <c r="L8" s="15"/>
      <c r="M8" s="15"/>
      <c r="N8" s="15"/>
      <c r="O8" s="15"/>
    </row>
    <row r="9" spans="1:15" x14ac:dyDescent="0.35">
      <c r="A9" s="11" t="s">
        <v>561</v>
      </c>
      <c r="B9" s="16">
        <v>0.3</v>
      </c>
      <c r="C9" s="16">
        <v>0.28999999999999998</v>
      </c>
      <c r="D9" s="16">
        <v>0.28999999999999998</v>
      </c>
      <c r="E9" s="16">
        <v>0.31</v>
      </c>
      <c r="F9" s="16">
        <v>0.28999999999999998</v>
      </c>
      <c r="G9" s="16">
        <v>0.27</v>
      </c>
      <c r="H9" s="16">
        <v>0.26</v>
      </c>
      <c r="I9" s="16">
        <v>0.18</v>
      </c>
      <c r="J9" s="16"/>
      <c r="K9" s="16"/>
      <c r="L9" s="16"/>
      <c r="M9" s="16"/>
      <c r="N9" s="16"/>
      <c r="O9" s="16"/>
    </row>
    <row r="10" spans="1:15" x14ac:dyDescent="0.35">
      <c r="A10" s="11" t="s">
        <v>395</v>
      </c>
      <c r="B10" s="16">
        <v>0.36</v>
      </c>
      <c r="C10" s="16">
        <v>0.33</v>
      </c>
      <c r="D10" s="16">
        <v>0.33</v>
      </c>
      <c r="E10" s="16">
        <v>0.35</v>
      </c>
      <c r="F10" s="16">
        <v>0.34</v>
      </c>
      <c r="G10" s="16">
        <v>0.3</v>
      </c>
      <c r="H10" s="16">
        <v>0.28999999999999998</v>
      </c>
      <c r="I10" s="16">
        <v>0.22</v>
      </c>
      <c r="J10" s="16"/>
      <c r="K10" s="16"/>
      <c r="L10" s="16"/>
      <c r="M10" s="16"/>
      <c r="N10" s="16"/>
      <c r="O10" s="16"/>
    </row>
    <row r="11" spans="1:15" ht="30" customHeight="1" x14ac:dyDescent="0.4">
      <c r="A11" s="5" t="s">
        <v>166</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560</v>
      </c>
      <c r="B13" s="15">
        <v>0.5</v>
      </c>
      <c r="C13" s="15">
        <v>0.47</v>
      </c>
      <c r="D13" s="15">
        <v>0.47</v>
      </c>
      <c r="E13" s="15">
        <v>0.49</v>
      </c>
      <c r="F13" s="15">
        <v>0.51</v>
      </c>
      <c r="G13" s="15">
        <v>0.49</v>
      </c>
      <c r="H13" s="15">
        <v>0.47</v>
      </c>
      <c r="I13" s="15">
        <v>0.53</v>
      </c>
      <c r="J13" s="15"/>
      <c r="K13" s="15"/>
      <c r="L13" s="15"/>
      <c r="M13" s="15"/>
      <c r="N13" s="15"/>
      <c r="O13" s="15"/>
    </row>
    <row r="14" spans="1:15" x14ac:dyDescent="0.35">
      <c r="A14" s="11" t="s">
        <v>561</v>
      </c>
      <c r="B14" s="16">
        <v>0.5</v>
      </c>
      <c r="C14" s="16">
        <v>0.53</v>
      </c>
      <c r="D14" s="16">
        <v>0.53</v>
      </c>
      <c r="E14" s="16">
        <v>0.51</v>
      </c>
      <c r="F14" s="16">
        <v>0.49</v>
      </c>
      <c r="G14" s="16">
        <v>0.51</v>
      </c>
      <c r="H14" s="16">
        <v>0.53</v>
      </c>
      <c r="I14" s="16">
        <v>0.47</v>
      </c>
      <c r="J14" s="16"/>
      <c r="K14" s="16"/>
      <c r="L14" s="16"/>
      <c r="M14" s="16"/>
      <c r="N14" s="16"/>
      <c r="O14" s="16"/>
    </row>
    <row r="15" spans="1:15" x14ac:dyDescent="0.35">
      <c r="A15" s="11" t="s">
        <v>395</v>
      </c>
      <c r="B15" s="16">
        <v>1</v>
      </c>
      <c r="C15" s="16">
        <v>1</v>
      </c>
      <c r="D15" s="16">
        <v>1</v>
      </c>
      <c r="E15" s="16">
        <v>1</v>
      </c>
      <c r="F15" s="16">
        <v>1</v>
      </c>
      <c r="G15" s="16">
        <v>1</v>
      </c>
      <c r="H15" s="16">
        <v>1</v>
      </c>
      <c r="I15" s="16">
        <v>1</v>
      </c>
      <c r="J15" s="16"/>
      <c r="K15" s="16"/>
      <c r="L15" s="16"/>
      <c r="M15" s="16"/>
      <c r="N15" s="16"/>
      <c r="O15" s="16"/>
    </row>
    <row r="16" spans="1:15" ht="30" customHeight="1" x14ac:dyDescent="0.4">
      <c r="A16" s="5" t="s">
        <v>167</v>
      </c>
      <c r="B16" s="16"/>
      <c r="C16" s="16"/>
      <c r="D16" s="16"/>
      <c r="E16" s="16"/>
      <c r="F16" s="16"/>
      <c r="G16" s="16"/>
      <c r="H16" s="16"/>
      <c r="I16" s="16"/>
      <c r="J16" s="16"/>
      <c r="K16" s="16"/>
      <c r="L16" s="16"/>
      <c r="M16" s="16"/>
      <c r="N16" s="16"/>
      <c r="O16" s="16"/>
    </row>
    <row r="17" spans="1:15" x14ac:dyDescent="0.35">
      <c r="A17" s="11" t="s">
        <v>386</v>
      </c>
      <c r="B17" s="16" t="s">
        <v>387</v>
      </c>
      <c r="C17" s="16" t="s">
        <v>388</v>
      </c>
      <c r="D17" s="16" t="s">
        <v>389</v>
      </c>
      <c r="E17" s="16" t="s">
        <v>390</v>
      </c>
      <c r="F17" s="16" t="s">
        <v>391</v>
      </c>
      <c r="G17" s="16" t="s">
        <v>392</v>
      </c>
      <c r="H17" s="16" t="s">
        <v>393</v>
      </c>
      <c r="I17" s="16" t="s">
        <v>394</v>
      </c>
      <c r="J17" s="16"/>
      <c r="K17" s="16"/>
      <c r="L17" s="16"/>
      <c r="M17" s="16"/>
      <c r="N17" s="16"/>
      <c r="O17" s="16"/>
    </row>
    <row r="18" spans="1:15" x14ac:dyDescent="0.35">
      <c r="A18" s="8" t="s">
        <v>560</v>
      </c>
      <c r="B18" s="12">
        <v>44</v>
      </c>
      <c r="C18" s="12">
        <v>45</v>
      </c>
      <c r="D18" s="12">
        <v>46</v>
      </c>
      <c r="E18" s="12">
        <v>48</v>
      </c>
      <c r="F18" s="12">
        <v>48</v>
      </c>
      <c r="G18" s="12">
        <v>46</v>
      </c>
      <c r="H18" s="12">
        <v>52</v>
      </c>
      <c r="I18" s="12">
        <v>49</v>
      </c>
      <c r="J18" s="12"/>
      <c r="K18" s="12"/>
      <c r="L18" s="12"/>
      <c r="M18" s="12"/>
      <c r="N18" s="12"/>
      <c r="O18" s="12"/>
    </row>
    <row r="19" spans="1:15" x14ac:dyDescent="0.35">
      <c r="A19" s="11" t="s">
        <v>561</v>
      </c>
      <c r="B19" s="13">
        <v>46</v>
      </c>
      <c r="C19" s="13">
        <v>45</v>
      </c>
      <c r="D19" s="13">
        <v>47</v>
      </c>
      <c r="E19" s="13">
        <v>47</v>
      </c>
      <c r="F19" s="13">
        <v>49</v>
      </c>
      <c r="G19" s="13">
        <v>47</v>
      </c>
      <c r="H19" s="13">
        <v>47</v>
      </c>
      <c r="I19" s="13">
        <v>53</v>
      </c>
      <c r="J19" s="13"/>
      <c r="K19" s="13"/>
      <c r="L19" s="13"/>
      <c r="M19" s="13"/>
      <c r="N19" s="13"/>
      <c r="O19" s="13"/>
    </row>
    <row r="20" spans="1:15" x14ac:dyDescent="0.35">
      <c r="A20" s="11" t="s">
        <v>395</v>
      </c>
      <c r="B20" s="13">
        <v>45</v>
      </c>
      <c r="C20" s="13">
        <v>45</v>
      </c>
      <c r="D20" s="13">
        <v>46</v>
      </c>
      <c r="E20" s="13">
        <v>48</v>
      </c>
      <c r="F20" s="13">
        <v>48</v>
      </c>
      <c r="G20" s="13">
        <v>47</v>
      </c>
      <c r="H20" s="13">
        <v>49</v>
      </c>
      <c r="I20" s="13">
        <v>51</v>
      </c>
      <c r="J20" s="13"/>
      <c r="K20" s="13"/>
      <c r="L20" s="13"/>
      <c r="M20" s="13"/>
      <c r="N20" s="13"/>
      <c r="O20" s="13"/>
    </row>
    <row r="21" spans="1:15" ht="30" customHeight="1" x14ac:dyDescent="0.4">
      <c r="A21" s="5" t="s">
        <v>168</v>
      </c>
      <c r="B21" s="13"/>
      <c r="C21" s="13"/>
      <c r="D21" s="13"/>
      <c r="E21" s="13"/>
      <c r="F21" s="13"/>
      <c r="G21" s="13"/>
      <c r="H21" s="13"/>
      <c r="I21" s="13"/>
      <c r="J21" s="13"/>
      <c r="K21" s="13"/>
      <c r="L21" s="13"/>
      <c r="M21" s="13"/>
      <c r="N21" s="13"/>
      <c r="O21" s="13"/>
    </row>
    <row r="22" spans="1:15" x14ac:dyDescent="0.35">
      <c r="A22" s="11" t="s">
        <v>386</v>
      </c>
      <c r="B22" s="13" t="s">
        <v>387</v>
      </c>
      <c r="C22" s="13" t="s">
        <v>388</v>
      </c>
      <c r="D22" s="13" t="s">
        <v>389</v>
      </c>
      <c r="E22" s="13" t="s">
        <v>390</v>
      </c>
      <c r="F22" s="13" t="s">
        <v>391</v>
      </c>
      <c r="G22" s="13" t="s">
        <v>392</v>
      </c>
      <c r="H22" s="13" t="s">
        <v>393</v>
      </c>
      <c r="I22" s="13" t="s">
        <v>394</v>
      </c>
      <c r="J22" s="13"/>
      <c r="K22" s="13"/>
      <c r="L22" s="13"/>
      <c r="M22" s="13"/>
      <c r="N22" s="13"/>
      <c r="O22" s="13"/>
    </row>
    <row r="23" spans="1:15" x14ac:dyDescent="0.35">
      <c r="A23" s="8" t="s">
        <v>560</v>
      </c>
      <c r="B23" s="12">
        <v>1109</v>
      </c>
      <c r="C23" s="12">
        <v>786</v>
      </c>
      <c r="D23" s="12">
        <v>814</v>
      </c>
      <c r="E23" s="12">
        <v>781</v>
      </c>
      <c r="F23" s="12">
        <v>702</v>
      </c>
      <c r="G23" s="12">
        <v>672</v>
      </c>
      <c r="H23" s="12">
        <v>609</v>
      </c>
      <c r="I23" s="12">
        <v>492</v>
      </c>
      <c r="J23" s="12"/>
      <c r="K23" s="12"/>
      <c r="L23" s="12"/>
      <c r="M23" s="12"/>
      <c r="N23" s="12"/>
      <c r="O23" s="12"/>
    </row>
    <row r="24" spans="1:15" x14ac:dyDescent="0.35">
      <c r="A24" s="11" t="s">
        <v>561</v>
      </c>
      <c r="B24" s="13">
        <v>1724</v>
      </c>
      <c r="C24" s="13">
        <v>1209</v>
      </c>
      <c r="D24" s="13">
        <v>1255</v>
      </c>
      <c r="E24" s="13">
        <v>1109</v>
      </c>
      <c r="F24" s="13">
        <v>994</v>
      </c>
      <c r="G24" s="13">
        <v>935</v>
      </c>
      <c r="H24" s="13">
        <v>905</v>
      </c>
      <c r="I24" s="13">
        <v>737</v>
      </c>
      <c r="J24" s="13"/>
      <c r="K24" s="13"/>
      <c r="L24" s="13"/>
      <c r="M24" s="13"/>
      <c r="N24" s="13"/>
      <c r="O24" s="13"/>
    </row>
    <row r="25" spans="1:15" x14ac:dyDescent="0.35">
      <c r="A25" s="11" t="s">
        <v>395</v>
      </c>
      <c r="B25" s="13">
        <v>2833</v>
      </c>
      <c r="C25" s="13">
        <v>1995</v>
      </c>
      <c r="D25" s="13">
        <v>2069</v>
      </c>
      <c r="E25" s="13">
        <v>1890</v>
      </c>
      <c r="F25" s="13">
        <v>1696</v>
      </c>
      <c r="G25" s="13">
        <v>1607</v>
      </c>
      <c r="H25" s="13">
        <v>1514</v>
      </c>
      <c r="I25" s="13">
        <v>1229</v>
      </c>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175</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ht="29" x14ac:dyDescent="0.35">
      <c r="A5" s="8" t="s">
        <v>562</v>
      </c>
      <c r="B5" s="9"/>
      <c r="C5" s="9"/>
      <c r="D5" s="9"/>
      <c r="E5" s="9"/>
      <c r="F5" s="9"/>
      <c r="G5" s="9"/>
      <c r="H5" s="9"/>
      <c r="I5" s="9"/>
      <c r="J5" s="9"/>
      <c r="K5" s="9"/>
      <c r="L5" s="9"/>
      <c r="M5" s="9"/>
      <c r="N5" s="9"/>
      <c r="O5" s="9"/>
    </row>
    <row r="6" spans="1:15" x14ac:dyDescent="0.35">
      <c r="A6" s="8" t="s">
        <v>563</v>
      </c>
      <c r="B6" s="9"/>
      <c r="C6" s="9"/>
      <c r="D6" s="9"/>
      <c r="E6" s="9"/>
      <c r="F6" s="9"/>
      <c r="G6" s="9"/>
      <c r="H6" s="9"/>
      <c r="I6" s="9"/>
      <c r="J6" s="9"/>
      <c r="K6" s="9"/>
      <c r="L6" s="9"/>
      <c r="M6" s="9"/>
      <c r="N6" s="9"/>
      <c r="O6" s="9"/>
    </row>
    <row r="7" spans="1:15" x14ac:dyDescent="0.35">
      <c r="A7" s="10" t="s">
        <v>1</v>
      </c>
      <c r="B7" s="9"/>
      <c r="C7" s="9"/>
      <c r="D7" s="9"/>
      <c r="E7" s="9"/>
      <c r="F7" s="9"/>
      <c r="G7" s="9"/>
      <c r="H7" s="9"/>
      <c r="I7" s="9"/>
      <c r="J7" s="9"/>
      <c r="K7" s="9"/>
      <c r="L7" s="9"/>
      <c r="M7" s="9"/>
      <c r="N7" s="9"/>
      <c r="O7" s="9"/>
    </row>
    <row r="8" spans="1:15" ht="30" customHeight="1" x14ac:dyDescent="0.4">
      <c r="A8" s="5" t="s">
        <v>174</v>
      </c>
      <c r="B8" s="9"/>
      <c r="C8" s="9"/>
      <c r="D8" s="9"/>
      <c r="E8" s="9"/>
      <c r="F8" s="9"/>
      <c r="G8" s="9"/>
      <c r="H8" s="9"/>
      <c r="I8" s="9"/>
      <c r="J8" s="9"/>
      <c r="K8" s="9"/>
      <c r="L8" s="9"/>
      <c r="M8" s="9"/>
      <c r="N8" s="9"/>
      <c r="O8" s="9"/>
    </row>
    <row r="9" spans="1:15" x14ac:dyDescent="0.35">
      <c r="A9" s="11" t="s">
        <v>386</v>
      </c>
      <c r="B9" s="9" t="s">
        <v>387</v>
      </c>
      <c r="C9" s="9" t="s">
        <v>388</v>
      </c>
      <c r="D9" s="9" t="s">
        <v>389</v>
      </c>
      <c r="E9" s="9" t="s">
        <v>390</v>
      </c>
      <c r="F9" s="9" t="s">
        <v>391</v>
      </c>
      <c r="G9" s="9" t="s">
        <v>392</v>
      </c>
      <c r="H9" s="9" t="s">
        <v>393</v>
      </c>
      <c r="I9" s="9" t="s">
        <v>394</v>
      </c>
      <c r="J9" s="9"/>
      <c r="K9" s="9"/>
      <c r="L9" s="9"/>
      <c r="M9" s="9"/>
      <c r="N9" s="9"/>
      <c r="O9" s="9"/>
    </row>
    <row r="10" spans="1:15" x14ac:dyDescent="0.35">
      <c r="A10" s="8" t="s">
        <v>535</v>
      </c>
      <c r="B10" s="15">
        <v>0.37</v>
      </c>
      <c r="C10" s="15">
        <v>0.34</v>
      </c>
      <c r="D10" s="15">
        <v>0.33</v>
      </c>
      <c r="E10" s="15">
        <v>0.37</v>
      </c>
      <c r="F10" s="15">
        <v>0.36</v>
      </c>
      <c r="G10" s="15">
        <v>0.32</v>
      </c>
      <c r="H10" s="15">
        <v>0.32</v>
      </c>
      <c r="I10" s="15">
        <v>0.24</v>
      </c>
      <c r="J10" s="15"/>
      <c r="K10" s="15"/>
      <c r="L10" s="15"/>
      <c r="M10" s="15"/>
      <c r="N10" s="15"/>
      <c r="O10" s="15"/>
    </row>
    <row r="11" spans="1:15" x14ac:dyDescent="0.35">
      <c r="A11" s="11" t="s">
        <v>534</v>
      </c>
      <c r="B11" s="16">
        <v>0.33</v>
      </c>
      <c r="C11" s="16">
        <v>0.24</v>
      </c>
      <c r="D11" s="16">
        <v>0.28999999999999998</v>
      </c>
      <c r="E11" s="16">
        <v>0.25</v>
      </c>
      <c r="F11" s="16">
        <v>0.24</v>
      </c>
      <c r="G11" s="16">
        <v>0.23</v>
      </c>
      <c r="H11" s="16">
        <v>0.19</v>
      </c>
      <c r="I11" s="16">
        <v>0.15</v>
      </c>
      <c r="J11" s="16"/>
      <c r="K11" s="16"/>
      <c r="L11" s="16"/>
      <c r="M11" s="16"/>
      <c r="N11" s="16"/>
      <c r="O11" s="16"/>
    </row>
    <row r="12" spans="1:15" x14ac:dyDescent="0.35">
      <c r="A12" s="11" t="s">
        <v>395</v>
      </c>
      <c r="B12" s="16">
        <v>0.36</v>
      </c>
      <c r="C12" s="16">
        <v>0.33</v>
      </c>
      <c r="D12" s="16">
        <v>0.33</v>
      </c>
      <c r="E12" s="16">
        <v>0.35</v>
      </c>
      <c r="F12" s="16">
        <v>0.34</v>
      </c>
      <c r="G12" s="16">
        <v>0.3</v>
      </c>
      <c r="H12" s="16">
        <v>0.3</v>
      </c>
      <c r="I12" s="16">
        <v>0.22</v>
      </c>
      <c r="J12" s="16"/>
      <c r="K12" s="16"/>
      <c r="L12" s="16"/>
      <c r="M12" s="16"/>
      <c r="N12" s="16"/>
      <c r="O12" s="16"/>
    </row>
    <row r="13" spans="1:15" ht="30" customHeight="1" x14ac:dyDescent="0.4">
      <c r="A13" s="5" t="s">
        <v>171</v>
      </c>
      <c r="B13" s="16"/>
      <c r="C13" s="16"/>
      <c r="D13" s="16"/>
      <c r="E13" s="16"/>
      <c r="F13" s="16"/>
      <c r="G13" s="16"/>
      <c r="H13" s="16"/>
      <c r="I13" s="16"/>
      <c r="J13" s="16"/>
      <c r="K13" s="16"/>
      <c r="L13" s="16"/>
      <c r="M13" s="16"/>
      <c r="N13" s="16"/>
      <c r="O13" s="16"/>
    </row>
    <row r="14" spans="1:15" x14ac:dyDescent="0.35">
      <c r="A14" s="11" t="s">
        <v>386</v>
      </c>
      <c r="B14" s="16" t="s">
        <v>387</v>
      </c>
      <c r="C14" s="16" t="s">
        <v>388</v>
      </c>
      <c r="D14" s="16" t="s">
        <v>389</v>
      </c>
      <c r="E14" s="16" t="s">
        <v>390</v>
      </c>
      <c r="F14" s="16" t="s">
        <v>391</v>
      </c>
      <c r="G14" s="16" t="s">
        <v>392</v>
      </c>
      <c r="H14" s="16" t="s">
        <v>393</v>
      </c>
      <c r="I14" s="16" t="s">
        <v>394</v>
      </c>
      <c r="J14" s="16"/>
      <c r="K14" s="16"/>
      <c r="L14" s="16"/>
      <c r="M14" s="16"/>
      <c r="N14" s="16"/>
      <c r="O14" s="16"/>
    </row>
    <row r="15" spans="1:15" x14ac:dyDescent="0.35">
      <c r="A15" s="8" t="s">
        <v>535</v>
      </c>
      <c r="B15" s="15">
        <v>0.76</v>
      </c>
      <c r="C15" s="15">
        <v>0.9</v>
      </c>
      <c r="D15" s="15">
        <v>0.88</v>
      </c>
      <c r="E15" s="15">
        <v>0.89</v>
      </c>
      <c r="F15" s="15">
        <v>0.9</v>
      </c>
      <c r="G15" s="15">
        <v>0.88</v>
      </c>
      <c r="H15" s="15">
        <v>0.89</v>
      </c>
      <c r="I15" s="15">
        <v>0.88</v>
      </c>
      <c r="J15" s="15"/>
      <c r="K15" s="15"/>
      <c r="L15" s="15"/>
      <c r="M15" s="15"/>
      <c r="N15" s="15"/>
      <c r="O15" s="15"/>
    </row>
    <row r="16" spans="1:15" x14ac:dyDescent="0.35">
      <c r="A16" s="11" t="s">
        <v>534</v>
      </c>
      <c r="B16" s="16">
        <v>0.24</v>
      </c>
      <c r="C16" s="16">
        <v>0.1</v>
      </c>
      <c r="D16" s="16">
        <v>0.12</v>
      </c>
      <c r="E16" s="16">
        <v>0.11</v>
      </c>
      <c r="F16" s="16">
        <v>0.1</v>
      </c>
      <c r="G16" s="16">
        <v>0.12</v>
      </c>
      <c r="H16" s="16">
        <v>0.11</v>
      </c>
      <c r="I16" s="16">
        <v>0.12</v>
      </c>
      <c r="J16" s="16"/>
      <c r="K16" s="16"/>
      <c r="L16" s="16"/>
      <c r="M16" s="16"/>
      <c r="N16" s="16"/>
      <c r="O16" s="16"/>
    </row>
    <row r="17" spans="1:15" x14ac:dyDescent="0.35">
      <c r="A17" s="11" t="s">
        <v>395</v>
      </c>
      <c r="B17" s="16">
        <v>1</v>
      </c>
      <c r="C17" s="16">
        <v>1</v>
      </c>
      <c r="D17" s="16">
        <v>1</v>
      </c>
      <c r="E17" s="16">
        <v>1</v>
      </c>
      <c r="F17" s="16">
        <v>1</v>
      </c>
      <c r="G17" s="16">
        <v>1</v>
      </c>
      <c r="H17" s="16">
        <v>1</v>
      </c>
      <c r="I17" s="16">
        <v>1</v>
      </c>
      <c r="J17" s="16"/>
      <c r="K17" s="16"/>
      <c r="L17" s="16"/>
      <c r="M17" s="16"/>
      <c r="N17" s="16"/>
      <c r="O17" s="16"/>
    </row>
    <row r="18" spans="1:15" ht="30" customHeight="1" x14ac:dyDescent="0.4">
      <c r="A18" s="5" t="s">
        <v>172</v>
      </c>
      <c r="B18" s="16"/>
      <c r="C18" s="16"/>
      <c r="D18" s="16"/>
      <c r="E18" s="16"/>
      <c r="F18" s="16"/>
      <c r="G18" s="16"/>
      <c r="H18" s="16"/>
      <c r="I18" s="16"/>
      <c r="J18" s="16"/>
      <c r="K18" s="16"/>
      <c r="L18" s="16"/>
      <c r="M18" s="16"/>
      <c r="N18" s="16"/>
      <c r="O18" s="16"/>
    </row>
    <row r="19" spans="1:15" x14ac:dyDescent="0.35">
      <c r="A19" s="11" t="s">
        <v>386</v>
      </c>
      <c r="B19" s="16" t="s">
        <v>387</v>
      </c>
      <c r="C19" s="16" t="s">
        <v>388</v>
      </c>
      <c r="D19" s="16" t="s">
        <v>389</v>
      </c>
      <c r="E19" s="16" t="s">
        <v>390</v>
      </c>
      <c r="F19" s="16" t="s">
        <v>391</v>
      </c>
      <c r="G19" s="16" t="s">
        <v>392</v>
      </c>
      <c r="H19" s="16" t="s">
        <v>393</v>
      </c>
      <c r="I19" s="16" t="s">
        <v>394</v>
      </c>
      <c r="J19" s="16"/>
      <c r="K19" s="16"/>
      <c r="L19" s="16"/>
      <c r="M19" s="16"/>
      <c r="N19" s="16"/>
      <c r="O19" s="16"/>
    </row>
    <row r="20" spans="1:15" x14ac:dyDescent="0.35">
      <c r="A20" s="8" t="s">
        <v>535</v>
      </c>
      <c r="B20" s="12">
        <v>44</v>
      </c>
      <c r="C20" s="12">
        <v>45</v>
      </c>
      <c r="D20" s="12">
        <v>46</v>
      </c>
      <c r="E20" s="12">
        <v>48</v>
      </c>
      <c r="F20" s="12">
        <v>48</v>
      </c>
      <c r="G20" s="12">
        <v>46</v>
      </c>
      <c r="H20" s="12">
        <v>49</v>
      </c>
      <c r="I20" s="12">
        <v>52</v>
      </c>
      <c r="J20" s="12"/>
      <c r="K20" s="12"/>
      <c r="L20" s="12"/>
      <c r="M20" s="12"/>
      <c r="N20" s="12"/>
      <c r="O20" s="12"/>
    </row>
    <row r="21" spans="1:15" x14ac:dyDescent="0.35">
      <c r="A21" s="11" t="s">
        <v>534</v>
      </c>
      <c r="B21" s="13">
        <v>46</v>
      </c>
      <c r="C21" s="13">
        <v>47</v>
      </c>
      <c r="D21" s="13">
        <v>48</v>
      </c>
      <c r="E21" s="13">
        <v>48</v>
      </c>
      <c r="F21" s="13">
        <v>54</v>
      </c>
      <c r="G21" s="13">
        <v>52</v>
      </c>
      <c r="H21" s="13">
        <v>48</v>
      </c>
      <c r="I21" s="13">
        <v>46</v>
      </c>
      <c r="J21" s="13"/>
      <c r="K21" s="13"/>
      <c r="L21" s="13"/>
      <c r="M21" s="13"/>
      <c r="N21" s="13"/>
      <c r="O21" s="13"/>
    </row>
    <row r="22" spans="1:15" x14ac:dyDescent="0.35">
      <c r="A22" s="11" t="s">
        <v>395</v>
      </c>
      <c r="B22" s="13">
        <v>45</v>
      </c>
      <c r="C22" s="13">
        <v>45</v>
      </c>
      <c r="D22" s="13">
        <v>46</v>
      </c>
      <c r="E22" s="13">
        <v>48</v>
      </c>
      <c r="F22" s="13">
        <v>48</v>
      </c>
      <c r="G22" s="13">
        <v>47</v>
      </c>
      <c r="H22" s="13">
        <v>49</v>
      </c>
      <c r="I22" s="13">
        <v>51</v>
      </c>
      <c r="J22" s="13"/>
      <c r="K22" s="13"/>
      <c r="L22" s="13"/>
      <c r="M22" s="13"/>
      <c r="N22" s="13"/>
      <c r="O22" s="13"/>
    </row>
    <row r="23" spans="1:15" ht="30" customHeight="1" x14ac:dyDescent="0.4">
      <c r="A23" s="5" t="s">
        <v>173</v>
      </c>
      <c r="B23" s="13"/>
      <c r="C23" s="13"/>
      <c r="D23" s="13"/>
      <c r="E23" s="13"/>
      <c r="F23" s="13"/>
      <c r="G23" s="13"/>
      <c r="H23" s="13"/>
      <c r="I23" s="13"/>
      <c r="J23" s="13"/>
      <c r="K23" s="13"/>
      <c r="L23" s="13"/>
      <c r="M23" s="13"/>
      <c r="N23" s="13"/>
      <c r="O23" s="13"/>
    </row>
    <row r="24" spans="1:15" x14ac:dyDescent="0.35">
      <c r="A24" s="11" t="s">
        <v>386</v>
      </c>
      <c r="B24" s="13" t="s">
        <v>387</v>
      </c>
      <c r="C24" s="13" t="s">
        <v>388</v>
      </c>
      <c r="D24" s="13" t="s">
        <v>389</v>
      </c>
      <c r="E24" s="13" t="s">
        <v>390</v>
      </c>
      <c r="F24" s="13" t="s">
        <v>391</v>
      </c>
      <c r="G24" s="13" t="s">
        <v>392</v>
      </c>
      <c r="H24" s="13" t="s">
        <v>393</v>
      </c>
      <c r="I24" s="13" t="s">
        <v>394</v>
      </c>
      <c r="J24" s="13"/>
      <c r="K24" s="13"/>
      <c r="L24" s="13"/>
      <c r="M24" s="13"/>
      <c r="N24" s="13"/>
      <c r="O24" s="13"/>
    </row>
    <row r="25" spans="1:15" x14ac:dyDescent="0.35">
      <c r="A25" s="8" t="s">
        <v>535</v>
      </c>
      <c r="B25" s="12">
        <v>2029</v>
      </c>
      <c r="C25" s="12">
        <v>1695</v>
      </c>
      <c r="D25" s="12">
        <v>1751</v>
      </c>
      <c r="E25" s="12">
        <v>1555</v>
      </c>
      <c r="F25" s="12">
        <v>1393</v>
      </c>
      <c r="G25" s="12">
        <v>1317</v>
      </c>
      <c r="H25" s="12">
        <v>1219</v>
      </c>
      <c r="I25" s="12">
        <v>959</v>
      </c>
      <c r="J25" s="12"/>
      <c r="K25" s="12"/>
      <c r="L25" s="12"/>
      <c r="M25" s="12"/>
      <c r="N25" s="12"/>
      <c r="O25" s="12"/>
    </row>
    <row r="26" spans="1:15" x14ac:dyDescent="0.35">
      <c r="A26" s="11" t="s">
        <v>534</v>
      </c>
      <c r="B26" s="13">
        <v>800</v>
      </c>
      <c r="C26" s="13">
        <v>294</v>
      </c>
      <c r="D26" s="13">
        <v>316</v>
      </c>
      <c r="E26" s="13">
        <v>334</v>
      </c>
      <c r="F26" s="13">
        <v>299</v>
      </c>
      <c r="G26" s="13">
        <v>290</v>
      </c>
      <c r="H26" s="13">
        <v>293</v>
      </c>
      <c r="I26" s="13">
        <v>270</v>
      </c>
      <c r="J26" s="13"/>
      <c r="K26" s="13"/>
      <c r="L26" s="13"/>
      <c r="M26" s="13"/>
      <c r="N26" s="13"/>
      <c r="O26" s="13"/>
    </row>
    <row r="27" spans="1:15" x14ac:dyDescent="0.35">
      <c r="A27" s="11" t="s">
        <v>395</v>
      </c>
      <c r="B27" s="13">
        <v>2829</v>
      </c>
      <c r="C27" s="13">
        <v>1989</v>
      </c>
      <c r="D27" s="13">
        <v>2067</v>
      </c>
      <c r="E27" s="13">
        <v>1889</v>
      </c>
      <c r="F27" s="13">
        <v>1692</v>
      </c>
      <c r="G27" s="13">
        <v>1607</v>
      </c>
      <c r="H27" s="13">
        <v>1512</v>
      </c>
      <c r="I27" s="13">
        <v>1229</v>
      </c>
      <c r="J27" s="13"/>
      <c r="K27" s="13"/>
      <c r="L27" s="13"/>
      <c r="M27" s="13"/>
      <c r="N27" s="13"/>
      <c r="O27" s="13"/>
    </row>
    <row r="28" spans="1:15" x14ac:dyDescent="0.35">
      <c r="A28" s="11"/>
      <c r="B28" s="13"/>
      <c r="C28" s="13"/>
      <c r="D28" s="13"/>
      <c r="E28" s="13"/>
      <c r="F28" s="13"/>
      <c r="G28" s="13"/>
      <c r="H28" s="13"/>
      <c r="I28" s="13"/>
      <c r="J28" s="13"/>
      <c r="K28" s="13"/>
      <c r="L28" s="13"/>
      <c r="M28" s="13"/>
      <c r="N28" s="13"/>
      <c r="O28" s="13"/>
    </row>
    <row r="29" spans="1:15" x14ac:dyDescent="0.35">
      <c r="A29" s="11"/>
      <c r="B29" s="13"/>
      <c r="C29" s="13"/>
      <c r="D29" s="13"/>
      <c r="E29" s="13"/>
      <c r="F29" s="13"/>
      <c r="G29" s="13"/>
      <c r="H29" s="13"/>
      <c r="I29" s="13"/>
      <c r="J29" s="13"/>
      <c r="K29" s="13"/>
      <c r="L29" s="13"/>
      <c r="M29" s="13"/>
      <c r="N29" s="13"/>
      <c r="O29" s="13"/>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180</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552</v>
      </c>
      <c r="B4" s="9"/>
      <c r="C4" s="9"/>
      <c r="D4" s="9"/>
      <c r="E4" s="9"/>
      <c r="F4" s="9"/>
      <c r="G4" s="9"/>
      <c r="H4" s="9"/>
      <c r="I4" s="9"/>
      <c r="J4" s="9"/>
      <c r="K4" s="9"/>
      <c r="L4" s="9"/>
      <c r="M4" s="9"/>
      <c r="N4" s="9"/>
      <c r="O4" s="9"/>
    </row>
    <row r="5" spans="1:15" ht="29" x14ac:dyDescent="0.35">
      <c r="A5" s="8" t="s">
        <v>564</v>
      </c>
      <c r="B5" s="9"/>
      <c r="C5" s="9"/>
      <c r="D5" s="9"/>
      <c r="E5" s="9"/>
      <c r="F5" s="9"/>
      <c r="G5" s="9"/>
      <c r="H5" s="9"/>
      <c r="I5" s="9"/>
      <c r="J5" s="9"/>
      <c r="K5" s="9"/>
      <c r="L5" s="9"/>
      <c r="M5" s="9"/>
      <c r="N5" s="9"/>
      <c r="O5" s="9"/>
    </row>
    <row r="6" spans="1:15" x14ac:dyDescent="0.35">
      <c r="A6" s="10" t="s">
        <v>1</v>
      </c>
      <c r="B6" s="9"/>
      <c r="C6" s="9"/>
      <c r="D6" s="9"/>
      <c r="E6" s="9"/>
      <c r="F6" s="9"/>
      <c r="G6" s="9"/>
      <c r="H6" s="9"/>
      <c r="I6" s="9"/>
      <c r="J6" s="9"/>
      <c r="K6" s="9"/>
      <c r="L6" s="9"/>
      <c r="M6" s="9"/>
      <c r="N6" s="9"/>
      <c r="O6" s="9"/>
    </row>
    <row r="7" spans="1:15" ht="30" customHeight="1" x14ac:dyDescent="0.4">
      <c r="A7" s="5" t="s">
        <v>179</v>
      </c>
      <c r="B7" s="9"/>
      <c r="C7" s="9"/>
      <c r="D7" s="9"/>
      <c r="E7" s="9"/>
      <c r="F7" s="9"/>
      <c r="G7" s="9"/>
      <c r="H7" s="9"/>
      <c r="I7" s="9"/>
      <c r="J7" s="9"/>
      <c r="K7" s="9"/>
      <c r="L7" s="9"/>
      <c r="M7" s="9"/>
      <c r="N7" s="9"/>
      <c r="O7" s="9"/>
    </row>
    <row r="8" spans="1:15" x14ac:dyDescent="0.35">
      <c r="A8" s="11" t="s">
        <v>386</v>
      </c>
      <c r="B8" s="9" t="s">
        <v>387</v>
      </c>
      <c r="C8" s="9" t="s">
        <v>388</v>
      </c>
      <c r="D8" s="9" t="s">
        <v>389</v>
      </c>
      <c r="E8" s="9" t="s">
        <v>390</v>
      </c>
      <c r="F8" s="9" t="s">
        <v>391</v>
      </c>
      <c r="G8" s="9" t="s">
        <v>392</v>
      </c>
      <c r="H8" s="9" t="s">
        <v>393</v>
      </c>
      <c r="I8" s="9" t="s">
        <v>394</v>
      </c>
      <c r="J8" s="9"/>
      <c r="K8" s="9"/>
      <c r="L8" s="9"/>
      <c r="M8" s="9"/>
      <c r="N8" s="9"/>
      <c r="O8" s="9"/>
    </row>
    <row r="9" spans="1:15" x14ac:dyDescent="0.35">
      <c r="A9" s="8" t="s">
        <v>511</v>
      </c>
      <c r="B9" s="15">
        <v>0.37</v>
      </c>
      <c r="C9" s="15">
        <v>0.41</v>
      </c>
      <c r="D9" s="15">
        <v>0.34</v>
      </c>
      <c r="E9" s="15">
        <v>0.43</v>
      </c>
      <c r="F9" s="15">
        <v>0.26</v>
      </c>
      <c r="G9" s="15">
        <v>0.22</v>
      </c>
      <c r="H9" s="15">
        <v>0.39</v>
      </c>
      <c r="I9" s="15">
        <v>0.37</v>
      </c>
      <c r="J9" s="15"/>
      <c r="K9" s="15"/>
      <c r="L9" s="15"/>
      <c r="M9" s="15"/>
      <c r="N9" s="15"/>
      <c r="O9" s="15"/>
    </row>
    <row r="10" spans="1:15" x14ac:dyDescent="0.35">
      <c r="A10" s="11" t="s">
        <v>510</v>
      </c>
      <c r="B10" s="16">
        <v>0.36</v>
      </c>
      <c r="C10" s="16">
        <v>0.32</v>
      </c>
      <c r="D10" s="16">
        <v>0.33</v>
      </c>
      <c r="E10" s="16">
        <v>0.34</v>
      </c>
      <c r="F10" s="16">
        <v>0.36</v>
      </c>
      <c r="G10" s="16">
        <v>0.3</v>
      </c>
      <c r="H10" s="16">
        <v>0.28999999999999998</v>
      </c>
      <c r="I10" s="16">
        <v>0.2</v>
      </c>
      <c r="J10" s="16"/>
      <c r="K10" s="16"/>
      <c r="L10" s="16"/>
      <c r="M10" s="16"/>
      <c r="N10" s="16"/>
      <c r="O10" s="16"/>
    </row>
    <row r="11" spans="1:15" x14ac:dyDescent="0.35">
      <c r="A11" s="11" t="s">
        <v>395</v>
      </c>
      <c r="B11" s="16">
        <v>0.36</v>
      </c>
      <c r="C11" s="16">
        <v>0.33</v>
      </c>
      <c r="D11" s="16">
        <v>0.33</v>
      </c>
      <c r="E11" s="16">
        <v>0.35</v>
      </c>
      <c r="F11" s="16">
        <v>0.35</v>
      </c>
      <c r="G11" s="16">
        <v>0.3</v>
      </c>
      <c r="H11" s="16">
        <v>0.3</v>
      </c>
      <c r="I11" s="16">
        <v>0.22</v>
      </c>
      <c r="J11" s="16"/>
      <c r="K11" s="16"/>
      <c r="L11" s="16"/>
      <c r="M11" s="16"/>
      <c r="N11" s="16"/>
      <c r="O11" s="16"/>
    </row>
    <row r="12" spans="1:15" ht="30" customHeight="1" x14ac:dyDescent="0.4">
      <c r="A12" s="5" t="s">
        <v>176</v>
      </c>
      <c r="B12" s="16"/>
      <c r="C12" s="16"/>
      <c r="D12" s="16"/>
      <c r="E12" s="16"/>
      <c r="F12" s="16"/>
      <c r="G12" s="16"/>
      <c r="H12" s="16"/>
      <c r="I12" s="16"/>
      <c r="J12" s="16"/>
      <c r="K12" s="16"/>
      <c r="L12" s="16"/>
      <c r="M12" s="16"/>
      <c r="N12" s="16"/>
      <c r="O12" s="16"/>
    </row>
    <row r="13" spans="1:15" x14ac:dyDescent="0.35">
      <c r="A13" s="11" t="s">
        <v>386</v>
      </c>
      <c r="B13" s="16" t="s">
        <v>387</v>
      </c>
      <c r="C13" s="16" t="s">
        <v>388</v>
      </c>
      <c r="D13" s="16" t="s">
        <v>389</v>
      </c>
      <c r="E13" s="16" t="s">
        <v>390</v>
      </c>
      <c r="F13" s="16" t="s">
        <v>391</v>
      </c>
      <c r="G13" s="16" t="s">
        <v>392</v>
      </c>
      <c r="H13" s="16" t="s">
        <v>393</v>
      </c>
      <c r="I13" s="16" t="s">
        <v>394</v>
      </c>
      <c r="J13" s="16"/>
      <c r="K13" s="16"/>
      <c r="L13" s="16"/>
      <c r="M13" s="16"/>
      <c r="N13" s="16"/>
      <c r="O13" s="16"/>
    </row>
    <row r="14" spans="1:15" x14ac:dyDescent="0.35">
      <c r="A14" s="8" t="s">
        <v>511</v>
      </c>
      <c r="B14" s="15">
        <v>0.08</v>
      </c>
      <c r="C14" s="15">
        <v>7.0000000000000007E-2</v>
      </c>
      <c r="D14" s="15">
        <v>0.06</v>
      </c>
      <c r="E14" s="15">
        <v>7.0000000000000007E-2</v>
      </c>
      <c r="F14" s="15">
        <v>0.04</v>
      </c>
      <c r="G14" s="15">
        <v>0.05</v>
      </c>
      <c r="H14" s="15">
        <v>0.11</v>
      </c>
      <c r="I14" s="15">
        <v>0.14000000000000001</v>
      </c>
      <c r="J14" s="15"/>
      <c r="K14" s="15"/>
      <c r="L14" s="15"/>
      <c r="M14" s="15"/>
      <c r="N14" s="15"/>
      <c r="O14" s="15"/>
    </row>
    <row r="15" spans="1:15" x14ac:dyDescent="0.35">
      <c r="A15" s="11" t="s">
        <v>510</v>
      </c>
      <c r="B15" s="16">
        <v>0.92</v>
      </c>
      <c r="C15" s="16">
        <v>0.93</v>
      </c>
      <c r="D15" s="16">
        <v>0.94</v>
      </c>
      <c r="E15" s="16">
        <v>0.93</v>
      </c>
      <c r="F15" s="16">
        <v>0.96</v>
      </c>
      <c r="G15" s="16">
        <v>0.95</v>
      </c>
      <c r="H15" s="16">
        <v>0.89</v>
      </c>
      <c r="I15" s="16">
        <v>0.86</v>
      </c>
      <c r="J15" s="16"/>
      <c r="K15" s="16"/>
      <c r="L15" s="16"/>
      <c r="M15" s="16"/>
      <c r="N15" s="16"/>
      <c r="O15" s="16"/>
    </row>
    <row r="16" spans="1:15" x14ac:dyDescent="0.35">
      <c r="A16" s="11" t="s">
        <v>395</v>
      </c>
      <c r="B16" s="16">
        <v>1</v>
      </c>
      <c r="C16" s="16">
        <v>1</v>
      </c>
      <c r="D16" s="16">
        <v>1</v>
      </c>
      <c r="E16" s="16">
        <v>1</v>
      </c>
      <c r="F16" s="16">
        <v>1</v>
      </c>
      <c r="G16" s="16">
        <v>1</v>
      </c>
      <c r="H16" s="16">
        <v>1</v>
      </c>
      <c r="I16" s="16">
        <v>1</v>
      </c>
      <c r="J16" s="16"/>
      <c r="K16" s="16"/>
      <c r="L16" s="16"/>
      <c r="M16" s="16"/>
      <c r="N16" s="16"/>
      <c r="O16" s="16"/>
    </row>
    <row r="17" spans="1:15" ht="30" customHeight="1" x14ac:dyDescent="0.4">
      <c r="A17" s="5" t="s">
        <v>177</v>
      </c>
      <c r="B17" s="16"/>
      <c r="C17" s="16"/>
      <c r="D17" s="16"/>
      <c r="E17" s="16"/>
      <c r="F17" s="16"/>
      <c r="G17" s="16"/>
      <c r="H17" s="16"/>
      <c r="I17" s="16"/>
      <c r="J17" s="16"/>
      <c r="K17" s="16"/>
      <c r="L17" s="16"/>
      <c r="M17" s="16"/>
      <c r="N17" s="16"/>
      <c r="O17" s="16"/>
    </row>
    <row r="18" spans="1:15" x14ac:dyDescent="0.35">
      <c r="A18" s="11" t="s">
        <v>386</v>
      </c>
      <c r="B18" s="16" t="s">
        <v>387</v>
      </c>
      <c r="C18" s="16" t="s">
        <v>388</v>
      </c>
      <c r="D18" s="16" t="s">
        <v>389</v>
      </c>
      <c r="E18" s="16" t="s">
        <v>390</v>
      </c>
      <c r="F18" s="16" t="s">
        <v>391</v>
      </c>
      <c r="G18" s="16" t="s">
        <v>392</v>
      </c>
      <c r="H18" s="16" t="s">
        <v>393</v>
      </c>
      <c r="I18" s="16" t="s">
        <v>394</v>
      </c>
      <c r="J18" s="16"/>
      <c r="K18" s="16"/>
      <c r="L18" s="16"/>
      <c r="M18" s="16"/>
      <c r="N18" s="16"/>
      <c r="O18" s="16"/>
    </row>
    <row r="19" spans="1:15" x14ac:dyDescent="0.35">
      <c r="A19" s="8" t="s">
        <v>511</v>
      </c>
      <c r="B19" s="12">
        <v>37</v>
      </c>
      <c r="C19" s="12">
        <v>34</v>
      </c>
      <c r="D19" s="12">
        <v>37</v>
      </c>
      <c r="E19" s="12">
        <v>31</v>
      </c>
      <c r="F19" s="12">
        <v>34</v>
      </c>
      <c r="G19" s="12">
        <v>35</v>
      </c>
      <c r="H19" s="12">
        <v>43</v>
      </c>
      <c r="I19" s="12">
        <v>42</v>
      </c>
      <c r="J19" s="12"/>
      <c r="K19" s="12"/>
      <c r="L19" s="12"/>
      <c r="M19" s="12"/>
      <c r="N19" s="12"/>
      <c r="O19" s="12"/>
    </row>
    <row r="20" spans="1:15" x14ac:dyDescent="0.35">
      <c r="A20" s="11" t="s">
        <v>510</v>
      </c>
      <c r="B20" s="13">
        <v>46</v>
      </c>
      <c r="C20" s="13">
        <v>46</v>
      </c>
      <c r="D20" s="13">
        <v>47</v>
      </c>
      <c r="E20" s="13">
        <v>48</v>
      </c>
      <c r="F20" s="13">
        <v>50</v>
      </c>
      <c r="G20" s="13">
        <v>48</v>
      </c>
      <c r="H20" s="13">
        <v>50</v>
      </c>
      <c r="I20" s="13">
        <v>52</v>
      </c>
      <c r="J20" s="13"/>
      <c r="K20" s="13"/>
      <c r="L20" s="13"/>
      <c r="M20" s="13"/>
      <c r="N20" s="13"/>
      <c r="O20" s="13"/>
    </row>
    <row r="21" spans="1:15" x14ac:dyDescent="0.35">
      <c r="A21" s="11" t="s">
        <v>395</v>
      </c>
      <c r="B21" s="13">
        <v>45</v>
      </c>
      <c r="C21" s="13">
        <v>45</v>
      </c>
      <c r="D21" s="13">
        <v>46</v>
      </c>
      <c r="E21" s="13">
        <v>48</v>
      </c>
      <c r="F21" s="13">
        <v>49</v>
      </c>
      <c r="G21" s="13">
        <v>47</v>
      </c>
      <c r="H21" s="13">
        <v>49</v>
      </c>
      <c r="I21" s="13">
        <v>51</v>
      </c>
      <c r="J21" s="13"/>
      <c r="K21" s="13"/>
      <c r="L21" s="13"/>
      <c r="M21" s="13"/>
      <c r="N21" s="13"/>
      <c r="O21" s="13"/>
    </row>
    <row r="22" spans="1:15" ht="30" customHeight="1" x14ac:dyDescent="0.4">
      <c r="A22" s="5" t="s">
        <v>178</v>
      </c>
      <c r="B22" s="13"/>
      <c r="C22" s="13"/>
      <c r="D22" s="13"/>
      <c r="E22" s="13"/>
      <c r="F22" s="13"/>
      <c r="G22" s="13"/>
      <c r="H22" s="13"/>
      <c r="I22" s="13"/>
      <c r="J22" s="13"/>
      <c r="K22" s="13"/>
      <c r="L22" s="13"/>
      <c r="M22" s="13"/>
      <c r="N22" s="13"/>
      <c r="O22" s="13"/>
    </row>
    <row r="23" spans="1:15" x14ac:dyDescent="0.35">
      <c r="A23" s="11" t="s">
        <v>386</v>
      </c>
      <c r="B23" s="13" t="s">
        <v>387</v>
      </c>
      <c r="C23" s="13" t="s">
        <v>388</v>
      </c>
      <c r="D23" s="13" t="s">
        <v>389</v>
      </c>
      <c r="E23" s="13" t="s">
        <v>390</v>
      </c>
      <c r="F23" s="13" t="s">
        <v>391</v>
      </c>
      <c r="G23" s="13" t="s">
        <v>392</v>
      </c>
      <c r="H23" s="13" t="s">
        <v>393</v>
      </c>
      <c r="I23" s="13" t="s">
        <v>394</v>
      </c>
      <c r="J23" s="13"/>
      <c r="K23" s="13"/>
      <c r="L23" s="13"/>
      <c r="M23" s="13"/>
      <c r="N23" s="13"/>
      <c r="O23" s="13"/>
    </row>
    <row r="24" spans="1:15" x14ac:dyDescent="0.35">
      <c r="A24" s="8" t="s">
        <v>511</v>
      </c>
      <c r="B24" s="12">
        <v>186</v>
      </c>
      <c r="C24" s="12">
        <v>88</v>
      </c>
      <c r="D24" s="12">
        <v>86</v>
      </c>
      <c r="E24" s="12">
        <v>71</v>
      </c>
      <c r="F24" s="12">
        <v>61</v>
      </c>
      <c r="G24" s="12">
        <v>67</v>
      </c>
      <c r="H24" s="12">
        <v>76</v>
      </c>
      <c r="I24" s="12">
        <v>63</v>
      </c>
      <c r="J24" s="12"/>
      <c r="K24" s="12"/>
      <c r="L24" s="12"/>
      <c r="M24" s="12"/>
      <c r="N24" s="12"/>
      <c r="O24" s="12"/>
    </row>
    <row r="25" spans="1:15" x14ac:dyDescent="0.35">
      <c r="A25" s="11" t="s">
        <v>510</v>
      </c>
      <c r="B25" s="13">
        <v>2647</v>
      </c>
      <c r="C25" s="13">
        <v>1907</v>
      </c>
      <c r="D25" s="13">
        <v>1926</v>
      </c>
      <c r="E25" s="13">
        <v>1767</v>
      </c>
      <c r="F25" s="13">
        <v>1542</v>
      </c>
      <c r="G25" s="13">
        <v>1367</v>
      </c>
      <c r="H25" s="13">
        <v>1338</v>
      </c>
      <c r="I25" s="13">
        <v>1057</v>
      </c>
      <c r="J25" s="13"/>
      <c r="K25" s="13"/>
      <c r="L25" s="13"/>
      <c r="M25" s="13"/>
      <c r="N25" s="13"/>
      <c r="O25" s="13"/>
    </row>
    <row r="26" spans="1:15" x14ac:dyDescent="0.35">
      <c r="A26" s="11" t="s">
        <v>395</v>
      </c>
      <c r="B26" s="13">
        <v>2833</v>
      </c>
      <c r="C26" s="13">
        <v>1995</v>
      </c>
      <c r="D26" s="13">
        <v>2012</v>
      </c>
      <c r="E26" s="13">
        <v>1838</v>
      </c>
      <c r="F26" s="13">
        <v>1603</v>
      </c>
      <c r="G26" s="13">
        <v>1434</v>
      </c>
      <c r="H26" s="13">
        <v>1414</v>
      </c>
      <c r="I26" s="13">
        <v>1120</v>
      </c>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13"/>
      <c r="C28" s="13"/>
      <c r="D28" s="13"/>
      <c r="E28" s="13"/>
      <c r="F28" s="13"/>
      <c r="G28" s="13"/>
      <c r="H28" s="13"/>
      <c r="I28" s="13"/>
      <c r="J28" s="13"/>
      <c r="K28" s="13"/>
      <c r="L28" s="13"/>
      <c r="M28" s="13"/>
      <c r="N28" s="13"/>
      <c r="O28" s="13"/>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184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183</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395</v>
      </c>
      <c r="B8" s="15">
        <v>5.6000000000000001E-2</v>
      </c>
      <c r="C8" s="15">
        <v>0.04</v>
      </c>
      <c r="D8" s="15">
        <v>2.8000000000000001E-2</v>
      </c>
      <c r="E8" s="15">
        <v>2.9000000000000001E-2</v>
      </c>
      <c r="F8" s="15">
        <v>4.1000000000000002E-2</v>
      </c>
      <c r="G8" s="15">
        <v>3.3000000000000002E-2</v>
      </c>
      <c r="H8" s="15"/>
      <c r="I8" s="15"/>
      <c r="J8" s="15"/>
      <c r="K8" s="15"/>
      <c r="L8" s="15"/>
      <c r="M8" s="15"/>
      <c r="N8" s="15"/>
      <c r="O8" s="15"/>
    </row>
    <row r="9" spans="1:15" ht="30" customHeight="1" x14ac:dyDescent="0.4">
      <c r="A9" s="5" t="s">
        <v>181</v>
      </c>
      <c r="B9" s="16"/>
      <c r="C9" s="16"/>
      <c r="D9" s="16"/>
      <c r="E9" s="16"/>
      <c r="F9" s="16"/>
      <c r="G9" s="16"/>
      <c r="H9" s="16"/>
      <c r="I9" s="16"/>
      <c r="J9" s="16"/>
      <c r="K9" s="16"/>
      <c r="L9" s="16"/>
      <c r="M9" s="16"/>
      <c r="N9" s="16"/>
      <c r="O9" s="16"/>
    </row>
    <row r="10" spans="1:15" x14ac:dyDescent="0.35">
      <c r="A10" s="11" t="s">
        <v>386</v>
      </c>
      <c r="B10" s="16" t="s">
        <v>389</v>
      </c>
      <c r="C10" s="16" t="s">
        <v>390</v>
      </c>
      <c r="D10" s="16" t="s">
        <v>391</v>
      </c>
      <c r="E10" s="16" t="s">
        <v>392</v>
      </c>
      <c r="F10" s="16" t="s">
        <v>393</v>
      </c>
      <c r="G10" s="16" t="s">
        <v>394</v>
      </c>
      <c r="H10" s="16"/>
      <c r="I10" s="16"/>
      <c r="J10" s="16"/>
      <c r="K10" s="16"/>
      <c r="L10" s="16"/>
      <c r="M10" s="16"/>
      <c r="N10" s="16"/>
      <c r="O10" s="16"/>
    </row>
    <row r="11" spans="1:15" x14ac:dyDescent="0.35">
      <c r="A11" s="8" t="s">
        <v>395</v>
      </c>
      <c r="B11" s="12">
        <v>44</v>
      </c>
      <c r="C11" s="12">
        <v>43</v>
      </c>
      <c r="D11" s="12">
        <v>41</v>
      </c>
      <c r="E11" s="12">
        <v>40</v>
      </c>
      <c r="F11" s="12">
        <v>43</v>
      </c>
      <c r="G11" s="12">
        <v>37</v>
      </c>
      <c r="H11" s="12"/>
      <c r="I11" s="12"/>
      <c r="J11" s="12"/>
      <c r="K11" s="12"/>
      <c r="L11" s="12"/>
      <c r="M11" s="12"/>
      <c r="N11" s="12"/>
      <c r="O11" s="12"/>
    </row>
    <row r="12" spans="1:15" ht="30" customHeight="1" x14ac:dyDescent="0.4">
      <c r="A12" s="5" t="s">
        <v>182</v>
      </c>
      <c r="B12" s="13"/>
      <c r="C12" s="13"/>
      <c r="D12" s="13"/>
      <c r="E12" s="13"/>
      <c r="F12" s="13"/>
      <c r="G12" s="13"/>
      <c r="H12" s="13"/>
      <c r="I12" s="13"/>
      <c r="J12" s="13"/>
      <c r="K12" s="13"/>
      <c r="L12" s="13"/>
      <c r="M12" s="13"/>
      <c r="N12" s="13"/>
      <c r="O12" s="13"/>
    </row>
    <row r="13" spans="1:15" x14ac:dyDescent="0.35">
      <c r="A13" s="11" t="s">
        <v>386</v>
      </c>
      <c r="B13" s="13" t="s">
        <v>389</v>
      </c>
      <c r="C13" s="13" t="s">
        <v>390</v>
      </c>
      <c r="D13" s="13" t="s">
        <v>391</v>
      </c>
      <c r="E13" s="13" t="s">
        <v>392</v>
      </c>
      <c r="F13" s="13" t="s">
        <v>393</v>
      </c>
      <c r="G13" s="13" t="s">
        <v>394</v>
      </c>
      <c r="H13" s="13"/>
      <c r="I13" s="13"/>
      <c r="J13" s="13"/>
      <c r="K13" s="13"/>
      <c r="L13" s="13"/>
      <c r="M13" s="13"/>
      <c r="N13" s="13"/>
      <c r="O13" s="13"/>
    </row>
    <row r="14" spans="1:15" x14ac:dyDescent="0.35">
      <c r="A14" s="8" t="s">
        <v>395</v>
      </c>
      <c r="B14" s="12">
        <v>2069</v>
      </c>
      <c r="C14" s="12">
        <v>1890</v>
      </c>
      <c r="D14" s="12">
        <v>1696</v>
      </c>
      <c r="E14" s="12">
        <v>1607</v>
      </c>
      <c r="F14" s="12">
        <v>1514</v>
      </c>
      <c r="G14" s="12">
        <v>1229</v>
      </c>
      <c r="H14" s="12"/>
      <c r="I14" s="12"/>
      <c r="J14" s="12"/>
      <c r="K14" s="12"/>
      <c r="L14" s="12"/>
      <c r="M14" s="12"/>
      <c r="N14" s="12"/>
      <c r="O14" s="12"/>
    </row>
    <row r="15" spans="1:15" x14ac:dyDescent="0.35">
      <c r="A15" s="11"/>
      <c r="B15" s="13"/>
      <c r="C15" s="13"/>
      <c r="D15" s="13"/>
      <c r="E15" s="13"/>
      <c r="F15" s="13"/>
      <c r="G15" s="13"/>
      <c r="H15" s="13"/>
      <c r="I15" s="13"/>
      <c r="J15" s="13"/>
      <c r="K15" s="13"/>
      <c r="L15" s="13"/>
      <c r="M15" s="13"/>
      <c r="N15" s="13"/>
      <c r="O15" s="13"/>
    </row>
    <row r="16" spans="1:15" x14ac:dyDescent="0.35">
      <c r="A16" s="11"/>
      <c r="B16" s="13"/>
      <c r="C16" s="13"/>
      <c r="D16" s="13"/>
      <c r="E16" s="13"/>
      <c r="F16" s="13"/>
      <c r="G16" s="13"/>
      <c r="H16" s="13"/>
      <c r="I16" s="13"/>
      <c r="J16" s="13"/>
      <c r="K16" s="13"/>
      <c r="L16" s="13"/>
      <c r="M16" s="13"/>
      <c r="N16" s="13"/>
      <c r="O16" s="13"/>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189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553</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188</v>
      </c>
      <c r="B6" s="9"/>
      <c r="C6" s="9"/>
      <c r="D6" s="9"/>
      <c r="E6" s="9"/>
      <c r="F6" s="9"/>
      <c r="G6" s="9"/>
      <c r="H6" s="9"/>
      <c r="I6" s="9"/>
      <c r="J6" s="9"/>
      <c r="K6" s="9"/>
      <c r="L6" s="9"/>
      <c r="M6" s="9"/>
      <c r="N6" s="9"/>
      <c r="O6" s="9"/>
    </row>
    <row r="7" spans="1:15" x14ac:dyDescent="0.35">
      <c r="A7" s="11" t="s">
        <v>386</v>
      </c>
      <c r="B7" s="9" t="s">
        <v>390</v>
      </c>
      <c r="C7" s="9" t="s">
        <v>391</v>
      </c>
      <c r="D7" s="9" t="s">
        <v>392</v>
      </c>
      <c r="E7" s="9" t="s">
        <v>393</v>
      </c>
      <c r="F7" s="9" t="s">
        <v>394</v>
      </c>
      <c r="G7" s="9"/>
      <c r="H7" s="9"/>
      <c r="I7" s="9"/>
      <c r="J7" s="9"/>
      <c r="K7" s="9"/>
      <c r="L7" s="9"/>
      <c r="M7" s="9"/>
      <c r="N7" s="9"/>
      <c r="O7" s="9"/>
    </row>
    <row r="8" spans="1:15" x14ac:dyDescent="0.35">
      <c r="A8" s="8" t="s">
        <v>554</v>
      </c>
      <c r="B8" s="15">
        <v>0.10299999999999999</v>
      </c>
      <c r="C8" s="15">
        <v>6.8000000000000005E-2</v>
      </c>
      <c r="D8" s="15">
        <v>7.1999999999999995E-2</v>
      </c>
      <c r="E8" s="15">
        <v>0.111</v>
      </c>
      <c r="F8" s="15">
        <v>5.2999999999999999E-2</v>
      </c>
      <c r="G8" s="15"/>
      <c r="H8" s="15"/>
      <c r="I8" s="15"/>
      <c r="J8" s="15"/>
      <c r="K8" s="15"/>
      <c r="L8" s="15"/>
      <c r="M8" s="15"/>
      <c r="N8" s="15"/>
      <c r="O8" s="15"/>
    </row>
    <row r="9" spans="1:15" x14ac:dyDescent="0.35">
      <c r="A9" s="11" t="s">
        <v>484</v>
      </c>
      <c r="B9" s="16">
        <v>4.7E-2</v>
      </c>
      <c r="C9" s="16">
        <v>3.2000000000000001E-2</v>
      </c>
      <c r="D9" s="16">
        <v>3.4000000000000002E-2</v>
      </c>
      <c r="E9" s="16">
        <v>5.1999999999999998E-2</v>
      </c>
      <c r="F9" s="16">
        <v>2.5999999999999999E-2</v>
      </c>
      <c r="G9" s="16"/>
      <c r="H9" s="16"/>
      <c r="I9" s="16"/>
      <c r="J9" s="16"/>
      <c r="K9" s="16"/>
      <c r="L9" s="16"/>
      <c r="M9" s="16"/>
      <c r="N9" s="16"/>
      <c r="O9" s="16"/>
    </row>
    <row r="10" spans="1:15" x14ac:dyDescent="0.35">
      <c r="A10" s="11" t="s">
        <v>483</v>
      </c>
      <c r="B10" s="16">
        <v>3.3000000000000002E-2</v>
      </c>
      <c r="C10" s="16">
        <v>5.8000000000000003E-2</v>
      </c>
      <c r="D10" s="16">
        <v>2.1999999999999999E-2</v>
      </c>
      <c r="E10" s="16">
        <v>0</v>
      </c>
      <c r="F10" s="16">
        <v>0.17100000000000001</v>
      </c>
      <c r="G10" s="16"/>
      <c r="H10" s="16"/>
      <c r="I10" s="16"/>
      <c r="J10" s="16"/>
      <c r="K10" s="16"/>
      <c r="L10" s="16"/>
      <c r="M10" s="16"/>
      <c r="N10" s="16"/>
      <c r="O10" s="16"/>
    </row>
    <row r="11" spans="1:15" x14ac:dyDescent="0.35">
      <c r="A11" s="11" t="s">
        <v>482</v>
      </c>
      <c r="B11" s="16">
        <v>1.0999999999999999E-2</v>
      </c>
      <c r="C11" s="16">
        <v>5.0000000000000001E-3</v>
      </c>
      <c r="D11" s="16">
        <v>3.0000000000000001E-3</v>
      </c>
      <c r="E11" s="16">
        <v>4.0000000000000001E-3</v>
      </c>
      <c r="F11" s="16">
        <v>5.0000000000000001E-3</v>
      </c>
      <c r="G11" s="16"/>
      <c r="H11" s="16"/>
      <c r="I11" s="16"/>
      <c r="J11" s="16"/>
      <c r="K11" s="16"/>
      <c r="L11" s="16"/>
      <c r="M11" s="16"/>
      <c r="N11" s="16"/>
      <c r="O11" s="16"/>
    </row>
    <row r="12" spans="1:15" x14ac:dyDescent="0.35">
      <c r="A12" s="11" t="s">
        <v>395</v>
      </c>
      <c r="B12" s="16">
        <v>0.04</v>
      </c>
      <c r="C12" s="16">
        <v>2.8000000000000001E-2</v>
      </c>
      <c r="D12" s="16">
        <v>2.9000000000000001E-2</v>
      </c>
      <c r="E12" s="16">
        <v>4.1000000000000002E-2</v>
      </c>
      <c r="F12" s="16">
        <v>3.3000000000000002E-2</v>
      </c>
      <c r="G12" s="16"/>
      <c r="H12" s="16"/>
      <c r="I12" s="16"/>
      <c r="J12" s="16"/>
      <c r="K12" s="16"/>
      <c r="L12" s="16"/>
      <c r="M12" s="16"/>
      <c r="N12" s="16"/>
      <c r="O12" s="16"/>
    </row>
    <row r="13" spans="1:15" ht="30" customHeight="1" x14ac:dyDescent="0.4">
      <c r="A13" s="5" t="s">
        <v>185</v>
      </c>
      <c r="B13" s="16"/>
      <c r="C13" s="16"/>
      <c r="D13" s="16"/>
      <c r="E13" s="16"/>
      <c r="F13" s="16"/>
      <c r="G13" s="16"/>
      <c r="H13" s="16"/>
      <c r="I13" s="16"/>
      <c r="J13" s="16"/>
      <c r="K13" s="16"/>
      <c r="L13" s="16"/>
      <c r="M13" s="16"/>
      <c r="N13" s="16"/>
      <c r="O13" s="16"/>
    </row>
    <row r="14" spans="1:15" x14ac:dyDescent="0.35">
      <c r="A14" s="11" t="s">
        <v>386</v>
      </c>
      <c r="B14" s="16" t="s">
        <v>390</v>
      </c>
      <c r="C14" s="16" t="s">
        <v>391</v>
      </c>
      <c r="D14" s="16" t="s">
        <v>392</v>
      </c>
      <c r="E14" s="16" t="s">
        <v>393</v>
      </c>
      <c r="F14" s="16" t="s">
        <v>394</v>
      </c>
      <c r="G14" s="16"/>
      <c r="H14" s="16"/>
      <c r="I14" s="16"/>
      <c r="J14" s="16"/>
      <c r="K14" s="16"/>
      <c r="L14" s="16"/>
      <c r="M14" s="16"/>
      <c r="N14" s="16"/>
      <c r="O14" s="16"/>
    </row>
    <row r="15" spans="1:15" x14ac:dyDescent="0.35">
      <c r="A15" s="8" t="s">
        <v>554</v>
      </c>
      <c r="B15" s="15">
        <v>0.28000000000000003</v>
      </c>
      <c r="C15" s="15">
        <v>0.27</v>
      </c>
      <c r="D15" s="15">
        <v>0.3</v>
      </c>
      <c r="E15" s="15">
        <v>0.32</v>
      </c>
      <c r="F15" s="15">
        <v>0.2</v>
      </c>
      <c r="G15" s="15"/>
      <c r="H15" s="15"/>
      <c r="I15" s="15"/>
      <c r="J15" s="15"/>
      <c r="K15" s="15"/>
      <c r="L15" s="15"/>
      <c r="M15" s="15"/>
      <c r="N15" s="15"/>
      <c r="O15" s="15"/>
    </row>
    <row r="16" spans="1:15" x14ac:dyDescent="0.35">
      <c r="A16" s="11" t="s">
        <v>484</v>
      </c>
      <c r="B16" s="16">
        <v>0.56999999999999995</v>
      </c>
      <c r="C16" s="16">
        <v>0.56999999999999995</v>
      </c>
      <c r="D16" s="16">
        <v>0.62</v>
      </c>
      <c r="E16" s="16">
        <v>0.66</v>
      </c>
      <c r="F16" s="16">
        <v>0.38</v>
      </c>
      <c r="G16" s="16"/>
      <c r="H16" s="16"/>
      <c r="I16" s="16"/>
      <c r="J16" s="16"/>
      <c r="K16" s="16"/>
      <c r="L16" s="16"/>
      <c r="M16" s="16"/>
      <c r="N16" s="16"/>
      <c r="O16" s="16"/>
    </row>
    <row r="17" spans="1:15" x14ac:dyDescent="0.35">
      <c r="A17" s="11" t="s">
        <v>483</v>
      </c>
      <c r="B17" s="16">
        <v>0.06</v>
      </c>
      <c r="C17" s="16">
        <v>0.11</v>
      </c>
      <c r="D17" s="16">
        <v>0.05</v>
      </c>
      <c r="E17" s="16">
        <v>0</v>
      </c>
      <c r="F17" s="16">
        <v>0.38</v>
      </c>
      <c r="G17" s="16"/>
      <c r="H17" s="16"/>
      <c r="I17" s="16"/>
      <c r="J17" s="16"/>
      <c r="K17" s="16"/>
      <c r="L17" s="16"/>
      <c r="M17" s="16"/>
      <c r="N17" s="16"/>
      <c r="O17" s="16"/>
    </row>
    <row r="18" spans="1:15" x14ac:dyDescent="0.35">
      <c r="A18" s="11" t="s">
        <v>482</v>
      </c>
      <c r="B18" s="16">
        <v>0.09</v>
      </c>
      <c r="C18" s="16">
        <v>0.06</v>
      </c>
      <c r="D18" s="16">
        <v>0.03</v>
      </c>
      <c r="E18" s="16">
        <v>0.03</v>
      </c>
      <c r="F18" s="16">
        <v>0.05</v>
      </c>
      <c r="G18" s="16"/>
      <c r="H18" s="16"/>
      <c r="I18" s="16"/>
      <c r="J18" s="16"/>
      <c r="K18" s="16"/>
      <c r="L18" s="16"/>
      <c r="M18" s="16"/>
      <c r="N18" s="16"/>
      <c r="O18" s="16"/>
    </row>
    <row r="19" spans="1:15" x14ac:dyDescent="0.35">
      <c r="A19" s="11" t="s">
        <v>395</v>
      </c>
      <c r="B19" s="16">
        <v>1</v>
      </c>
      <c r="C19" s="16">
        <v>1</v>
      </c>
      <c r="D19" s="16">
        <v>1</v>
      </c>
      <c r="E19" s="16">
        <v>1</v>
      </c>
      <c r="F19" s="16">
        <v>1</v>
      </c>
      <c r="G19" s="16"/>
      <c r="H19" s="16"/>
      <c r="I19" s="16"/>
      <c r="J19" s="16"/>
      <c r="K19" s="16"/>
      <c r="L19" s="16"/>
      <c r="M19" s="16"/>
      <c r="N19" s="16"/>
      <c r="O19" s="16"/>
    </row>
    <row r="20" spans="1:15" ht="30" customHeight="1" x14ac:dyDescent="0.4">
      <c r="A20" s="5" t="s">
        <v>186</v>
      </c>
      <c r="B20" s="16"/>
      <c r="C20" s="16"/>
      <c r="D20" s="16"/>
      <c r="E20" s="16"/>
      <c r="F20" s="16"/>
      <c r="G20" s="16"/>
      <c r="H20" s="16"/>
      <c r="I20" s="16"/>
      <c r="J20" s="16"/>
      <c r="K20" s="16"/>
      <c r="L20" s="16"/>
      <c r="M20" s="16"/>
      <c r="N20" s="16"/>
      <c r="O20" s="16"/>
    </row>
    <row r="21" spans="1:15" x14ac:dyDescent="0.35">
      <c r="A21" s="11" t="s">
        <v>386</v>
      </c>
      <c r="B21" s="16" t="s">
        <v>390</v>
      </c>
      <c r="C21" s="16" t="s">
        <v>391</v>
      </c>
      <c r="D21" s="16" t="s">
        <v>392</v>
      </c>
      <c r="E21" s="16" t="s">
        <v>393</v>
      </c>
      <c r="F21" s="16" t="s">
        <v>394</v>
      </c>
      <c r="G21" s="16"/>
      <c r="H21" s="16"/>
      <c r="I21" s="16"/>
      <c r="J21" s="16"/>
      <c r="K21" s="16"/>
      <c r="L21" s="16"/>
      <c r="M21" s="16"/>
      <c r="N21" s="16"/>
      <c r="O21" s="16"/>
    </row>
    <row r="22" spans="1:15" x14ac:dyDescent="0.35">
      <c r="A22" s="8" t="s">
        <v>554</v>
      </c>
      <c r="B22" s="12">
        <v>39</v>
      </c>
      <c r="C22" s="12">
        <v>48</v>
      </c>
      <c r="D22" s="12">
        <v>45</v>
      </c>
      <c r="E22" s="12">
        <v>45</v>
      </c>
      <c r="F22" s="12">
        <v>55</v>
      </c>
      <c r="G22" s="12"/>
      <c r="H22" s="12"/>
      <c r="I22" s="12"/>
      <c r="J22" s="12"/>
      <c r="K22" s="12"/>
      <c r="L22" s="12"/>
      <c r="M22" s="12"/>
      <c r="N22" s="12"/>
      <c r="O22" s="12"/>
    </row>
    <row r="23" spans="1:15" x14ac:dyDescent="0.35">
      <c r="A23" s="11" t="s">
        <v>484</v>
      </c>
      <c r="B23" s="13">
        <v>43</v>
      </c>
      <c r="C23" s="13">
        <v>38</v>
      </c>
      <c r="D23" s="13">
        <v>38</v>
      </c>
      <c r="E23" s="13">
        <v>42</v>
      </c>
      <c r="F23" s="13">
        <v>47</v>
      </c>
      <c r="G23" s="13"/>
      <c r="H23" s="13"/>
      <c r="I23" s="13"/>
      <c r="J23" s="13"/>
      <c r="K23" s="13"/>
      <c r="L23" s="13"/>
      <c r="M23" s="13"/>
      <c r="N23" s="13"/>
      <c r="O23" s="13"/>
    </row>
    <row r="24" spans="1:15" x14ac:dyDescent="0.35">
      <c r="A24" s="11" t="s">
        <v>483</v>
      </c>
      <c r="B24" s="13">
        <v>40</v>
      </c>
      <c r="C24" s="13">
        <v>31</v>
      </c>
      <c r="D24" s="13">
        <v>41</v>
      </c>
      <c r="E24" s="13">
        <v>50</v>
      </c>
      <c r="F24" s="13">
        <v>32</v>
      </c>
      <c r="G24" s="13"/>
      <c r="H24" s="13"/>
      <c r="I24" s="13"/>
      <c r="J24" s="13"/>
      <c r="K24" s="13"/>
      <c r="L24" s="13"/>
      <c r="M24" s="13"/>
      <c r="N24" s="13"/>
      <c r="O24" s="13"/>
    </row>
    <row r="25" spans="1:15" x14ac:dyDescent="0.35">
      <c r="A25" s="11" t="s">
        <v>482</v>
      </c>
      <c r="B25" s="13">
        <v>75</v>
      </c>
      <c r="C25" s="13">
        <v>76</v>
      </c>
      <c r="D25" s="13">
        <v>69</v>
      </c>
      <c r="E25" s="13">
        <v>73</v>
      </c>
      <c r="F25" s="13">
        <v>79</v>
      </c>
      <c r="G25" s="13"/>
      <c r="H25" s="13"/>
      <c r="I25" s="13"/>
      <c r="J25" s="13"/>
      <c r="K25" s="13"/>
      <c r="L25" s="13"/>
      <c r="M25" s="13"/>
      <c r="N25" s="13"/>
      <c r="O25" s="13"/>
    </row>
    <row r="26" spans="1:15" x14ac:dyDescent="0.35">
      <c r="A26" s="11" t="s">
        <v>395</v>
      </c>
      <c r="B26" s="13">
        <v>43</v>
      </c>
      <c r="C26" s="13">
        <v>41</v>
      </c>
      <c r="D26" s="13">
        <v>40</v>
      </c>
      <c r="E26" s="13">
        <v>43</v>
      </c>
      <c r="F26" s="13">
        <v>37</v>
      </c>
      <c r="G26" s="13"/>
      <c r="H26" s="13"/>
      <c r="I26" s="13"/>
      <c r="J26" s="13"/>
      <c r="K26" s="13"/>
      <c r="L26" s="13"/>
      <c r="M26" s="13"/>
      <c r="N26" s="13"/>
      <c r="O26" s="13"/>
    </row>
    <row r="27" spans="1:15" ht="30" customHeight="1" x14ac:dyDescent="0.4">
      <c r="A27" s="5" t="s">
        <v>187</v>
      </c>
      <c r="B27" s="13"/>
      <c r="C27" s="13"/>
      <c r="D27" s="13"/>
      <c r="E27" s="13"/>
      <c r="F27" s="13"/>
      <c r="G27" s="13"/>
      <c r="H27" s="13"/>
      <c r="I27" s="13"/>
      <c r="J27" s="13"/>
      <c r="K27" s="13"/>
      <c r="L27" s="13"/>
      <c r="M27" s="13"/>
      <c r="N27" s="13"/>
      <c r="O27" s="13"/>
    </row>
    <row r="28" spans="1:15" x14ac:dyDescent="0.35">
      <c r="A28" s="11" t="s">
        <v>386</v>
      </c>
      <c r="B28" s="13" t="s">
        <v>390</v>
      </c>
      <c r="C28" s="13" t="s">
        <v>391</v>
      </c>
      <c r="D28" s="13" t="s">
        <v>392</v>
      </c>
      <c r="E28" s="13" t="s">
        <v>393</v>
      </c>
      <c r="F28" s="13" t="s">
        <v>394</v>
      </c>
      <c r="G28" s="13"/>
      <c r="H28" s="13"/>
      <c r="I28" s="13"/>
      <c r="J28" s="13"/>
      <c r="K28" s="13"/>
      <c r="L28" s="13"/>
      <c r="M28" s="13"/>
      <c r="N28" s="13"/>
      <c r="O28" s="13"/>
    </row>
    <row r="29" spans="1:15" x14ac:dyDescent="0.35">
      <c r="A29" s="8" t="s">
        <v>554</v>
      </c>
      <c r="B29" s="12">
        <v>177</v>
      </c>
      <c r="C29" s="12">
        <v>156</v>
      </c>
      <c r="D29" s="12">
        <v>163</v>
      </c>
      <c r="E29" s="12">
        <v>136</v>
      </c>
      <c r="F29" s="12">
        <v>109</v>
      </c>
      <c r="G29" s="12"/>
      <c r="H29" s="12"/>
      <c r="I29" s="12"/>
      <c r="J29" s="12"/>
      <c r="K29" s="12"/>
      <c r="L29" s="12"/>
      <c r="M29" s="12"/>
      <c r="N29" s="12"/>
      <c r="O29" s="12"/>
    </row>
    <row r="30" spans="1:15" x14ac:dyDescent="0.35">
      <c r="A30" s="11" t="s">
        <v>484</v>
      </c>
      <c r="B30" s="13">
        <v>816</v>
      </c>
      <c r="C30" s="13">
        <v>728</v>
      </c>
      <c r="D30" s="13">
        <v>689</v>
      </c>
      <c r="E30" s="13">
        <v>630</v>
      </c>
      <c r="F30" s="13">
        <v>482</v>
      </c>
      <c r="G30" s="13"/>
      <c r="H30" s="13"/>
      <c r="I30" s="13"/>
      <c r="J30" s="13"/>
      <c r="K30" s="13"/>
      <c r="L30" s="13"/>
      <c r="M30" s="13"/>
      <c r="N30" s="13"/>
      <c r="O30" s="13"/>
    </row>
    <row r="31" spans="1:15" x14ac:dyDescent="0.35">
      <c r="A31" s="11" t="s">
        <v>483</v>
      </c>
      <c r="B31" s="13">
        <v>131</v>
      </c>
      <c r="C31" s="13">
        <v>103</v>
      </c>
      <c r="D31" s="13">
        <v>114</v>
      </c>
      <c r="E31" s="13">
        <v>109</v>
      </c>
      <c r="F31" s="13">
        <v>90</v>
      </c>
      <c r="G31" s="13"/>
      <c r="H31" s="13"/>
      <c r="I31" s="13"/>
      <c r="J31" s="13"/>
      <c r="K31" s="13"/>
      <c r="L31" s="13"/>
      <c r="M31" s="13"/>
      <c r="N31" s="13"/>
      <c r="O31" s="13"/>
    </row>
    <row r="32" spans="1:15" x14ac:dyDescent="0.35">
      <c r="A32" s="11" t="s">
        <v>482</v>
      </c>
      <c r="B32" s="13">
        <v>766</v>
      </c>
      <c r="C32" s="13">
        <v>709</v>
      </c>
      <c r="D32" s="13">
        <v>641</v>
      </c>
      <c r="E32" s="13">
        <v>639</v>
      </c>
      <c r="F32" s="13">
        <v>548</v>
      </c>
      <c r="G32" s="13"/>
      <c r="H32" s="13"/>
      <c r="I32" s="13"/>
      <c r="J32" s="13"/>
      <c r="K32" s="13"/>
      <c r="L32" s="13"/>
      <c r="M32" s="13"/>
      <c r="N32" s="13"/>
      <c r="O32" s="13"/>
    </row>
    <row r="33" spans="1:15" x14ac:dyDescent="0.35">
      <c r="A33" s="11" t="s">
        <v>395</v>
      </c>
      <c r="B33" s="13">
        <v>1890</v>
      </c>
      <c r="C33" s="13">
        <v>1696</v>
      </c>
      <c r="D33" s="13">
        <v>1607</v>
      </c>
      <c r="E33" s="13">
        <v>1514</v>
      </c>
      <c r="F33" s="13">
        <v>1229</v>
      </c>
      <c r="G33" s="13"/>
      <c r="H33" s="13"/>
      <c r="I33" s="13"/>
      <c r="J33" s="13"/>
      <c r="K33" s="13"/>
      <c r="L33" s="13"/>
      <c r="M33" s="13"/>
      <c r="N33" s="13"/>
      <c r="O33" s="13"/>
    </row>
    <row r="34" spans="1:15" x14ac:dyDescent="0.35">
      <c r="A34" s="11"/>
      <c r="B34" s="13"/>
      <c r="C34" s="13"/>
      <c r="D34" s="13"/>
      <c r="E34" s="13"/>
      <c r="F34" s="13"/>
      <c r="G34" s="13"/>
      <c r="H34" s="13"/>
      <c r="I34" s="13"/>
      <c r="J34" s="13"/>
      <c r="K34" s="13"/>
      <c r="L34" s="13"/>
      <c r="M34" s="13"/>
      <c r="N34" s="13"/>
      <c r="O34" s="13"/>
    </row>
    <row r="35" spans="1:15" x14ac:dyDescent="0.35">
      <c r="A35" s="11"/>
      <c r="B35" s="13"/>
      <c r="C35" s="13"/>
      <c r="D35" s="13"/>
      <c r="E35" s="13"/>
      <c r="F35" s="13"/>
      <c r="G35" s="13"/>
      <c r="H35" s="13"/>
      <c r="I35" s="13"/>
      <c r="J35" s="13"/>
      <c r="K35" s="13"/>
      <c r="L35" s="13"/>
      <c r="M35" s="13"/>
      <c r="N35" s="13"/>
      <c r="O35" s="13"/>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194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ht="29" x14ac:dyDescent="0.35">
      <c r="A4" s="8" t="s">
        <v>522</v>
      </c>
      <c r="B4" s="9"/>
      <c r="C4" s="9"/>
      <c r="D4" s="9"/>
      <c r="E4" s="9"/>
      <c r="F4" s="9"/>
      <c r="G4" s="9"/>
      <c r="H4" s="9"/>
      <c r="I4" s="9"/>
      <c r="J4" s="9"/>
      <c r="K4" s="9"/>
      <c r="L4" s="9"/>
      <c r="M4" s="9"/>
      <c r="N4" s="9"/>
      <c r="O4" s="9"/>
    </row>
    <row r="5" spans="1:15" x14ac:dyDescent="0.35">
      <c r="A5" s="8" t="s">
        <v>565</v>
      </c>
      <c r="B5" s="9"/>
      <c r="C5" s="9"/>
      <c r="D5" s="9"/>
      <c r="E5" s="9"/>
      <c r="F5" s="9"/>
      <c r="G5" s="9"/>
      <c r="H5" s="9"/>
      <c r="I5" s="9"/>
      <c r="J5" s="9"/>
      <c r="K5" s="9"/>
      <c r="L5" s="9"/>
      <c r="M5" s="9"/>
      <c r="N5" s="9"/>
      <c r="O5" s="9"/>
    </row>
    <row r="6" spans="1:15" x14ac:dyDescent="0.35">
      <c r="A6" s="10" t="s">
        <v>0</v>
      </c>
      <c r="B6" s="9"/>
      <c r="C6" s="9"/>
      <c r="D6" s="9"/>
      <c r="E6" s="9"/>
      <c r="F6" s="9"/>
      <c r="G6" s="9"/>
      <c r="H6" s="9"/>
      <c r="I6" s="9"/>
      <c r="J6" s="9"/>
      <c r="K6" s="9"/>
      <c r="L6" s="9"/>
      <c r="M6" s="9"/>
      <c r="N6" s="9"/>
      <c r="O6" s="9"/>
    </row>
    <row r="7" spans="1:15" ht="30" customHeight="1" x14ac:dyDescent="0.4">
      <c r="A7" s="5" t="s">
        <v>193</v>
      </c>
      <c r="B7" s="9"/>
      <c r="C7" s="9"/>
      <c r="D7" s="9"/>
      <c r="E7" s="9"/>
      <c r="F7" s="9"/>
      <c r="G7" s="9"/>
      <c r="H7" s="9"/>
      <c r="I7" s="9"/>
      <c r="J7" s="9"/>
      <c r="K7" s="9"/>
      <c r="L7" s="9"/>
      <c r="M7" s="9"/>
      <c r="N7" s="9"/>
      <c r="O7" s="9"/>
    </row>
    <row r="8" spans="1:15" x14ac:dyDescent="0.35">
      <c r="A8" s="11" t="s">
        <v>386</v>
      </c>
      <c r="B8" s="9" t="s">
        <v>389</v>
      </c>
      <c r="C8" s="9" t="s">
        <v>390</v>
      </c>
      <c r="D8" s="9" t="s">
        <v>391</v>
      </c>
      <c r="E8" s="9" t="s">
        <v>392</v>
      </c>
      <c r="F8" s="9" t="s">
        <v>393</v>
      </c>
      <c r="G8" s="9" t="s">
        <v>394</v>
      </c>
      <c r="H8" s="9"/>
      <c r="I8" s="9"/>
      <c r="J8" s="9"/>
      <c r="K8" s="9"/>
      <c r="L8" s="9"/>
      <c r="M8" s="9"/>
      <c r="N8" s="9"/>
      <c r="O8" s="9"/>
    </row>
    <row r="9" spans="1:15" x14ac:dyDescent="0.35">
      <c r="A9" s="8" t="s">
        <v>528</v>
      </c>
      <c r="B9" s="15">
        <v>0.2</v>
      </c>
      <c r="C9" s="15">
        <v>0.129</v>
      </c>
      <c r="D9" s="15">
        <v>5.2999999999999999E-2</v>
      </c>
      <c r="E9" s="15">
        <v>9.0999999999999998E-2</v>
      </c>
      <c r="F9" s="15">
        <v>9.8000000000000004E-2</v>
      </c>
      <c r="G9" s="15">
        <v>0.34699999999999998</v>
      </c>
      <c r="H9" s="15"/>
      <c r="I9" s="15"/>
      <c r="J9" s="15"/>
      <c r="K9" s="15"/>
      <c r="L9" s="15"/>
      <c r="M9" s="15"/>
      <c r="N9" s="15"/>
      <c r="O9" s="15"/>
    </row>
    <row r="10" spans="1:15" x14ac:dyDescent="0.35">
      <c r="A10" s="11" t="s">
        <v>527</v>
      </c>
      <c r="B10" s="16">
        <v>8.5000000000000006E-2</v>
      </c>
      <c r="C10" s="16">
        <v>8.5999999999999993E-2</v>
      </c>
      <c r="D10" s="16">
        <v>5.1999999999999998E-2</v>
      </c>
      <c r="E10" s="16">
        <v>5.1999999999999998E-2</v>
      </c>
      <c r="F10" s="16">
        <v>7.0999999999999994E-2</v>
      </c>
      <c r="G10" s="16">
        <v>1.6E-2</v>
      </c>
      <c r="H10" s="16"/>
      <c r="I10" s="16"/>
      <c r="J10" s="16"/>
      <c r="K10" s="16"/>
      <c r="L10" s="16"/>
      <c r="M10" s="16"/>
      <c r="N10" s="16"/>
      <c r="O10" s="16"/>
    </row>
    <row r="11" spans="1:15" x14ac:dyDescent="0.35">
      <c r="A11" s="11" t="s">
        <v>525</v>
      </c>
      <c r="B11" s="16">
        <v>8.4000000000000005E-2</v>
      </c>
      <c r="C11" s="16">
        <v>4.5999999999999999E-2</v>
      </c>
      <c r="D11" s="16">
        <v>3.7999999999999999E-2</v>
      </c>
      <c r="E11" s="16">
        <v>3.1E-2</v>
      </c>
      <c r="F11" s="16">
        <v>6.8000000000000005E-2</v>
      </c>
      <c r="G11" s="16">
        <v>0.03</v>
      </c>
      <c r="H11" s="16"/>
      <c r="I11" s="16"/>
      <c r="J11" s="16"/>
      <c r="K11" s="16"/>
      <c r="L11" s="16"/>
      <c r="M11" s="16"/>
      <c r="N11" s="16"/>
      <c r="O11" s="16"/>
    </row>
    <row r="12" spans="1:15" x14ac:dyDescent="0.35">
      <c r="A12" s="11" t="s">
        <v>503</v>
      </c>
      <c r="B12" s="16">
        <v>5.0999999999999997E-2</v>
      </c>
      <c r="C12" s="16">
        <v>3.7999999999999999E-2</v>
      </c>
      <c r="D12" s="16">
        <v>3.2000000000000001E-2</v>
      </c>
      <c r="E12" s="16">
        <v>2.1000000000000001E-2</v>
      </c>
      <c r="F12" s="16">
        <v>4.9000000000000002E-2</v>
      </c>
      <c r="G12" s="16">
        <v>1.7000000000000001E-2</v>
      </c>
      <c r="H12" s="16"/>
      <c r="I12" s="16"/>
      <c r="J12" s="16"/>
      <c r="K12" s="16"/>
      <c r="L12" s="16"/>
      <c r="M12" s="16"/>
      <c r="N12" s="16"/>
      <c r="O12" s="16"/>
    </row>
    <row r="13" spans="1:15" x14ac:dyDescent="0.35">
      <c r="A13" s="11" t="s">
        <v>524</v>
      </c>
      <c r="B13" s="16">
        <v>3.1E-2</v>
      </c>
      <c r="C13" s="16">
        <v>3.7999999999999999E-2</v>
      </c>
      <c r="D13" s="16">
        <v>0.03</v>
      </c>
      <c r="E13" s="16">
        <v>3.3000000000000002E-2</v>
      </c>
      <c r="F13" s="16">
        <v>8.9999999999999993E-3</v>
      </c>
      <c r="G13" s="16">
        <v>3.5000000000000003E-2</v>
      </c>
      <c r="H13" s="16"/>
      <c r="I13" s="16"/>
      <c r="J13" s="16"/>
      <c r="K13" s="16"/>
      <c r="L13" s="16"/>
      <c r="M13" s="16"/>
      <c r="N13" s="16"/>
      <c r="O13" s="16"/>
    </row>
    <row r="14" spans="1:15" x14ac:dyDescent="0.35">
      <c r="A14" s="11" t="s">
        <v>526</v>
      </c>
      <c r="B14" s="16">
        <v>1.6E-2</v>
      </c>
      <c r="C14" s="16">
        <v>1.0999999999999999E-2</v>
      </c>
      <c r="D14" s="16">
        <v>7.0000000000000001E-3</v>
      </c>
      <c r="E14" s="16">
        <v>4.0000000000000001E-3</v>
      </c>
      <c r="F14" s="16">
        <v>3.0000000000000001E-3</v>
      </c>
      <c r="G14" s="16">
        <v>0</v>
      </c>
      <c r="H14" s="16"/>
      <c r="I14" s="16"/>
      <c r="J14" s="16"/>
      <c r="K14" s="16"/>
      <c r="L14" s="16"/>
      <c r="M14" s="16"/>
      <c r="N14" s="16"/>
      <c r="O14" s="16"/>
    </row>
    <row r="15" spans="1:15" x14ac:dyDescent="0.35">
      <c r="A15" s="11" t="s">
        <v>523</v>
      </c>
      <c r="B15" s="16">
        <v>8.9999999999999993E-3</v>
      </c>
      <c r="C15" s="16">
        <v>4.0000000000000001E-3</v>
      </c>
      <c r="D15" s="16">
        <v>1E-3</v>
      </c>
      <c r="E15" s="16">
        <v>0</v>
      </c>
      <c r="F15" s="16">
        <v>3.0000000000000001E-3</v>
      </c>
      <c r="G15" s="16">
        <v>1.2999999999999999E-2</v>
      </c>
      <c r="H15" s="16"/>
      <c r="I15" s="16"/>
      <c r="J15" s="16"/>
      <c r="K15" s="16"/>
      <c r="L15" s="16"/>
      <c r="M15" s="16"/>
      <c r="N15" s="16"/>
      <c r="O15" s="16"/>
    </row>
    <row r="16" spans="1:15" x14ac:dyDescent="0.35">
      <c r="A16" s="11" t="s">
        <v>395</v>
      </c>
      <c r="B16" s="16">
        <v>5.6000000000000001E-2</v>
      </c>
      <c r="C16" s="16">
        <v>0.04</v>
      </c>
      <c r="D16" s="16">
        <v>2.8000000000000001E-2</v>
      </c>
      <c r="E16" s="16">
        <v>2.9000000000000001E-2</v>
      </c>
      <c r="F16" s="16">
        <v>4.1000000000000002E-2</v>
      </c>
      <c r="G16" s="16">
        <v>3.3000000000000002E-2</v>
      </c>
      <c r="H16" s="16"/>
      <c r="I16" s="16"/>
      <c r="J16" s="16"/>
      <c r="K16" s="16"/>
      <c r="L16" s="16"/>
      <c r="M16" s="16"/>
      <c r="N16" s="16"/>
      <c r="O16" s="16"/>
    </row>
    <row r="17" spans="1:15" ht="30" customHeight="1" x14ac:dyDescent="0.4">
      <c r="A17" s="5" t="s">
        <v>190</v>
      </c>
      <c r="B17" s="16"/>
      <c r="C17" s="16"/>
      <c r="D17" s="16"/>
      <c r="E17" s="16"/>
      <c r="F17" s="16"/>
      <c r="G17" s="16"/>
      <c r="H17" s="16"/>
      <c r="I17" s="16"/>
      <c r="J17" s="16"/>
      <c r="K17" s="16"/>
      <c r="L17" s="16"/>
      <c r="M17" s="16"/>
      <c r="N17" s="16"/>
      <c r="O17" s="16"/>
    </row>
    <row r="18" spans="1:15" x14ac:dyDescent="0.35">
      <c r="A18" s="11" t="s">
        <v>386</v>
      </c>
      <c r="B18" s="16" t="s">
        <v>389</v>
      </c>
      <c r="C18" s="16" t="s">
        <v>390</v>
      </c>
      <c r="D18" s="16" t="s">
        <v>391</v>
      </c>
      <c r="E18" s="16" t="s">
        <v>392</v>
      </c>
      <c r="F18" s="16" t="s">
        <v>393</v>
      </c>
      <c r="G18" s="16" t="s">
        <v>394</v>
      </c>
      <c r="H18" s="16"/>
      <c r="I18" s="16"/>
      <c r="J18" s="16"/>
      <c r="K18" s="16"/>
      <c r="L18" s="16"/>
      <c r="M18" s="16"/>
      <c r="N18" s="16"/>
      <c r="O18" s="16"/>
    </row>
    <row r="19" spans="1:15" x14ac:dyDescent="0.35">
      <c r="A19" s="8" t="s">
        <v>528</v>
      </c>
      <c r="B19" s="15">
        <v>0.17</v>
      </c>
      <c r="C19" s="15">
        <v>0.16</v>
      </c>
      <c r="D19" s="15">
        <v>0.1</v>
      </c>
      <c r="E19" s="15">
        <v>0.16</v>
      </c>
      <c r="F19" s="15">
        <v>0.11</v>
      </c>
      <c r="G19" s="15">
        <v>0.46</v>
      </c>
      <c r="H19" s="15"/>
      <c r="I19" s="15"/>
      <c r="J19" s="15"/>
      <c r="K19" s="15"/>
      <c r="L19" s="15"/>
      <c r="M19" s="15"/>
      <c r="N19" s="15"/>
      <c r="O19" s="15"/>
    </row>
    <row r="20" spans="1:15" x14ac:dyDescent="0.35">
      <c r="A20" s="11" t="s">
        <v>527</v>
      </c>
      <c r="B20" s="16">
        <v>0.23</v>
      </c>
      <c r="C20" s="16">
        <v>0.28999999999999998</v>
      </c>
      <c r="D20" s="16">
        <v>0.28000000000000003</v>
      </c>
      <c r="E20" s="16">
        <v>0.32</v>
      </c>
      <c r="F20" s="16">
        <v>0.34</v>
      </c>
      <c r="G20" s="16">
        <v>0.09</v>
      </c>
      <c r="H20" s="16"/>
      <c r="I20" s="16"/>
      <c r="J20" s="16"/>
      <c r="K20" s="16"/>
      <c r="L20" s="16"/>
      <c r="M20" s="16"/>
      <c r="N20" s="16"/>
      <c r="O20" s="16"/>
    </row>
    <row r="21" spans="1:15" x14ac:dyDescent="0.35">
      <c r="A21" s="11" t="s">
        <v>525</v>
      </c>
      <c r="B21" s="16">
        <v>0.3</v>
      </c>
      <c r="C21" s="16">
        <v>0.23</v>
      </c>
      <c r="D21" s="16">
        <v>0.25</v>
      </c>
      <c r="E21" s="16">
        <v>0.21</v>
      </c>
      <c r="F21" s="16">
        <v>0.31</v>
      </c>
      <c r="G21" s="16">
        <v>0.15</v>
      </c>
      <c r="H21" s="16"/>
      <c r="I21" s="16"/>
      <c r="J21" s="16"/>
      <c r="K21" s="16"/>
      <c r="L21" s="16"/>
      <c r="M21" s="16"/>
      <c r="N21" s="16"/>
      <c r="O21" s="16"/>
    </row>
    <row r="22" spans="1:15" x14ac:dyDescent="0.35">
      <c r="A22" s="11" t="s">
        <v>503</v>
      </c>
      <c r="B22" s="16">
        <v>0.16</v>
      </c>
      <c r="C22" s="16">
        <v>0.14000000000000001</v>
      </c>
      <c r="D22" s="16">
        <v>0.18</v>
      </c>
      <c r="E22" s="16">
        <v>0.12</v>
      </c>
      <c r="F22" s="16">
        <v>0.19</v>
      </c>
      <c r="G22" s="16">
        <v>0.09</v>
      </c>
      <c r="H22" s="16"/>
      <c r="I22" s="16"/>
      <c r="J22" s="16"/>
      <c r="K22" s="16"/>
      <c r="L22" s="16"/>
      <c r="M22" s="16"/>
      <c r="N22" s="16"/>
      <c r="O22" s="16"/>
    </row>
    <row r="23" spans="1:15" x14ac:dyDescent="0.35">
      <c r="A23" s="11" t="s">
        <v>524</v>
      </c>
      <c r="B23" s="16">
        <v>7.0000000000000007E-2</v>
      </c>
      <c r="C23" s="16">
        <v>0.11</v>
      </c>
      <c r="D23" s="16">
        <v>0.13</v>
      </c>
      <c r="E23" s="16">
        <v>0.17</v>
      </c>
      <c r="F23" s="16">
        <v>0.03</v>
      </c>
      <c r="G23" s="16">
        <v>0.16</v>
      </c>
      <c r="H23" s="16"/>
      <c r="I23" s="16"/>
      <c r="J23" s="16"/>
      <c r="K23" s="16"/>
      <c r="L23" s="16"/>
      <c r="M23" s="16"/>
      <c r="N23" s="16"/>
      <c r="O23" s="16"/>
    </row>
    <row r="24" spans="1:15" x14ac:dyDescent="0.35">
      <c r="A24" s="11" t="s">
        <v>526</v>
      </c>
      <c r="B24" s="16">
        <v>0.05</v>
      </c>
      <c r="C24" s="16">
        <v>0.05</v>
      </c>
      <c r="D24" s="16">
        <v>0.05</v>
      </c>
      <c r="E24" s="16">
        <v>0.02</v>
      </c>
      <c r="F24" s="16">
        <v>0.01</v>
      </c>
      <c r="G24" s="16">
        <v>0</v>
      </c>
      <c r="H24" s="16"/>
      <c r="I24" s="16"/>
      <c r="J24" s="16"/>
      <c r="K24" s="16"/>
      <c r="L24" s="16"/>
      <c r="M24" s="16"/>
      <c r="N24" s="16"/>
      <c r="O24" s="16"/>
    </row>
    <row r="25" spans="1:15" x14ac:dyDescent="0.35">
      <c r="A25" s="11" t="s">
        <v>523</v>
      </c>
      <c r="B25" s="16">
        <v>0.02</v>
      </c>
      <c r="C25" s="16">
        <v>0.02</v>
      </c>
      <c r="D25" s="16">
        <v>0</v>
      </c>
      <c r="E25" s="16">
        <v>0</v>
      </c>
      <c r="F25" s="16">
        <v>0.01</v>
      </c>
      <c r="G25" s="16">
        <v>0.05</v>
      </c>
      <c r="H25" s="16"/>
      <c r="I25" s="16"/>
      <c r="J25" s="16"/>
      <c r="K25" s="16"/>
      <c r="L25" s="16"/>
      <c r="M25" s="16"/>
      <c r="N25" s="16"/>
      <c r="O25" s="16"/>
    </row>
    <row r="26" spans="1:15" x14ac:dyDescent="0.35">
      <c r="A26" s="11" t="s">
        <v>395</v>
      </c>
      <c r="B26" s="16">
        <v>1</v>
      </c>
      <c r="C26" s="16">
        <v>1</v>
      </c>
      <c r="D26" s="16">
        <v>1</v>
      </c>
      <c r="E26" s="16">
        <v>1</v>
      </c>
      <c r="F26" s="16">
        <v>1</v>
      </c>
      <c r="G26" s="16">
        <v>1</v>
      </c>
      <c r="H26" s="16"/>
      <c r="I26" s="16"/>
      <c r="J26" s="16"/>
      <c r="K26" s="16"/>
      <c r="L26" s="16"/>
      <c r="M26" s="16"/>
      <c r="N26" s="16"/>
      <c r="O26" s="16"/>
    </row>
    <row r="27" spans="1:15" ht="30" customHeight="1" x14ac:dyDescent="0.4">
      <c r="A27" s="5" t="s">
        <v>191</v>
      </c>
      <c r="B27" s="16"/>
      <c r="C27" s="16"/>
      <c r="D27" s="16"/>
      <c r="E27" s="16"/>
      <c r="F27" s="16"/>
      <c r="G27" s="16"/>
      <c r="H27" s="16"/>
      <c r="I27" s="16"/>
      <c r="J27" s="16"/>
      <c r="K27" s="16"/>
      <c r="L27" s="16"/>
      <c r="M27" s="16"/>
      <c r="N27" s="16"/>
      <c r="O27" s="16"/>
    </row>
    <row r="28" spans="1:15" x14ac:dyDescent="0.35">
      <c r="A28" s="11" t="s">
        <v>386</v>
      </c>
      <c r="B28" s="16" t="s">
        <v>389</v>
      </c>
      <c r="C28" s="16" t="s">
        <v>390</v>
      </c>
      <c r="D28" s="16" t="s">
        <v>391</v>
      </c>
      <c r="E28" s="16" t="s">
        <v>392</v>
      </c>
      <c r="F28" s="16" t="s">
        <v>393</v>
      </c>
      <c r="G28" s="16" t="s">
        <v>394</v>
      </c>
      <c r="H28" s="16"/>
      <c r="I28" s="16"/>
      <c r="J28" s="16"/>
      <c r="K28" s="16"/>
      <c r="L28" s="16"/>
      <c r="M28" s="16"/>
      <c r="N28" s="16"/>
      <c r="O28" s="16"/>
    </row>
    <row r="29" spans="1:15" x14ac:dyDescent="0.35">
      <c r="A29" s="8" t="s">
        <v>528</v>
      </c>
      <c r="B29" s="12">
        <v>38</v>
      </c>
      <c r="C29" s="12">
        <v>45</v>
      </c>
      <c r="D29" s="12">
        <v>44</v>
      </c>
      <c r="E29" s="12">
        <v>36</v>
      </c>
      <c r="F29" s="12">
        <v>43</v>
      </c>
      <c r="G29" s="12">
        <v>32</v>
      </c>
      <c r="H29" s="12"/>
      <c r="I29" s="12"/>
      <c r="J29" s="12"/>
      <c r="K29" s="12"/>
      <c r="L29" s="12"/>
      <c r="M29" s="12"/>
      <c r="N29" s="12"/>
      <c r="O29" s="12"/>
    </row>
    <row r="30" spans="1:15" x14ac:dyDescent="0.35">
      <c r="A30" s="11" t="s">
        <v>527</v>
      </c>
      <c r="B30" s="13">
        <v>47</v>
      </c>
      <c r="C30" s="13">
        <v>36</v>
      </c>
      <c r="D30" s="13">
        <v>51</v>
      </c>
      <c r="E30" s="13">
        <v>45</v>
      </c>
      <c r="F30" s="13">
        <v>52</v>
      </c>
      <c r="G30" s="13">
        <v>50</v>
      </c>
      <c r="H30" s="13"/>
      <c r="I30" s="13"/>
      <c r="J30" s="13"/>
      <c r="K30" s="13"/>
      <c r="L30" s="13"/>
      <c r="M30" s="13"/>
      <c r="N30" s="13"/>
      <c r="O30" s="13"/>
    </row>
    <row r="31" spans="1:15" x14ac:dyDescent="0.35">
      <c r="A31" s="11" t="s">
        <v>525</v>
      </c>
      <c r="B31" s="13">
        <v>37</v>
      </c>
      <c r="C31" s="13">
        <v>39</v>
      </c>
      <c r="D31" s="13">
        <v>32</v>
      </c>
      <c r="E31" s="13">
        <v>39</v>
      </c>
      <c r="F31" s="13">
        <v>38</v>
      </c>
      <c r="G31" s="13">
        <v>55</v>
      </c>
      <c r="H31" s="13"/>
      <c r="I31" s="13"/>
      <c r="J31" s="13"/>
      <c r="K31" s="13"/>
      <c r="L31" s="13"/>
      <c r="M31" s="13"/>
      <c r="N31" s="13"/>
      <c r="O31" s="13"/>
    </row>
    <row r="32" spans="1:15" x14ac:dyDescent="0.35">
      <c r="A32" s="11" t="s">
        <v>503</v>
      </c>
      <c r="B32" s="13">
        <v>52</v>
      </c>
      <c r="C32" s="13">
        <v>64</v>
      </c>
      <c r="D32" s="13">
        <v>41</v>
      </c>
      <c r="E32" s="13">
        <v>46</v>
      </c>
      <c r="F32" s="13">
        <v>44</v>
      </c>
      <c r="G32" s="13">
        <v>51</v>
      </c>
      <c r="H32" s="13"/>
      <c r="I32" s="13"/>
      <c r="J32" s="13"/>
      <c r="K32" s="13"/>
      <c r="L32" s="13"/>
      <c r="M32" s="13"/>
      <c r="N32" s="13"/>
      <c r="O32" s="13"/>
    </row>
    <row r="33" spans="1:15" x14ac:dyDescent="0.35">
      <c r="A33" s="11" t="s">
        <v>524</v>
      </c>
      <c r="B33" s="13">
        <v>43</v>
      </c>
      <c r="C33" s="13">
        <v>43</v>
      </c>
      <c r="D33" s="13">
        <v>38</v>
      </c>
      <c r="E33" s="13">
        <v>25</v>
      </c>
      <c r="F33" s="13">
        <v>45</v>
      </c>
      <c r="G33" s="13">
        <v>33</v>
      </c>
      <c r="H33" s="13"/>
      <c r="I33" s="13"/>
      <c r="J33" s="13"/>
      <c r="K33" s="13"/>
      <c r="L33" s="13"/>
      <c r="M33" s="13"/>
      <c r="N33" s="13"/>
      <c r="O33" s="13"/>
    </row>
    <row r="34" spans="1:15" x14ac:dyDescent="0.35">
      <c r="A34" s="11" t="s">
        <v>526</v>
      </c>
      <c r="B34" s="13">
        <v>65</v>
      </c>
      <c r="C34" s="13">
        <v>66</v>
      </c>
      <c r="D34" s="13">
        <v>76</v>
      </c>
      <c r="E34" s="13">
        <v>69</v>
      </c>
      <c r="F34" s="13">
        <v>73</v>
      </c>
      <c r="G34" s="13">
        <v>76</v>
      </c>
      <c r="H34" s="13"/>
      <c r="I34" s="13"/>
      <c r="J34" s="13"/>
      <c r="K34" s="13"/>
      <c r="L34" s="13"/>
      <c r="M34" s="13"/>
      <c r="N34" s="13"/>
      <c r="O34" s="13"/>
    </row>
    <row r="35" spans="1:15" x14ac:dyDescent="0.35">
      <c r="A35" s="11" t="s">
        <v>523</v>
      </c>
      <c r="B35" s="13">
        <v>58</v>
      </c>
      <c r="C35" s="13">
        <v>86</v>
      </c>
      <c r="D35" s="13">
        <v>75</v>
      </c>
      <c r="E35" s="13">
        <v>71</v>
      </c>
      <c r="F35" s="13">
        <v>72</v>
      </c>
      <c r="G35" s="13">
        <v>79</v>
      </c>
      <c r="H35" s="13"/>
      <c r="I35" s="13"/>
      <c r="J35" s="13"/>
      <c r="K35" s="13"/>
      <c r="L35" s="13"/>
      <c r="M35" s="13"/>
      <c r="N35" s="13"/>
      <c r="O35" s="13"/>
    </row>
    <row r="36" spans="1:15" x14ac:dyDescent="0.35">
      <c r="A36" s="11" t="s">
        <v>395</v>
      </c>
      <c r="B36" s="13">
        <v>44</v>
      </c>
      <c r="C36" s="13">
        <v>43</v>
      </c>
      <c r="D36" s="13">
        <v>41</v>
      </c>
      <c r="E36" s="13">
        <v>40</v>
      </c>
      <c r="F36" s="13">
        <v>43</v>
      </c>
      <c r="G36" s="13">
        <v>37</v>
      </c>
      <c r="H36" s="13"/>
      <c r="I36" s="13"/>
      <c r="J36" s="13"/>
      <c r="K36" s="13"/>
      <c r="L36" s="13"/>
      <c r="M36" s="13"/>
      <c r="N36" s="13"/>
      <c r="O36" s="13"/>
    </row>
    <row r="37" spans="1:15" ht="30" customHeight="1" x14ac:dyDescent="0.4">
      <c r="A37" s="5" t="s">
        <v>192</v>
      </c>
      <c r="B37" s="13"/>
      <c r="C37" s="13"/>
      <c r="D37" s="13"/>
      <c r="E37" s="13"/>
      <c r="F37" s="13"/>
      <c r="G37" s="13"/>
      <c r="H37" s="13"/>
      <c r="I37" s="13"/>
      <c r="J37" s="13"/>
      <c r="K37" s="13"/>
      <c r="L37" s="13"/>
      <c r="M37" s="13"/>
      <c r="N37" s="13"/>
      <c r="O37" s="13"/>
    </row>
    <row r="38" spans="1:15" x14ac:dyDescent="0.35">
      <c r="A38" s="11" t="s">
        <v>386</v>
      </c>
      <c r="B38" s="13" t="s">
        <v>389</v>
      </c>
      <c r="C38" s="13" t="s">
        <v>390</v>
      </c>
      <c r="D38" s="13" t="s">
        <v>391</v>
      </c>
      <c r="E38" s="13" t="s">
        <v>392</v>
      </c>
      <c r="F38" s="13" t="s">
        <v>393</v>
      </c>
      <c r="G38" s="13" t="s">
        <v>394</v>
      </c>
      <c r="H38" s="13"/>
      <c r="I38" s="13"/>
      <c r="J38" s="13"/>
      <c r="K38" s="13"/>
      <c r="L38" s="13"/>
      <c r="M38" s="13"/>
      <c r="N38" s="13"/>
      <c r="O38" s="13"/>
    </row>
    <row r="39" spans="1:15" x14ac:dyDescent="0.35">
      <c r="A39" s="8" t="s">
        <v>528</v>
      </c>
      <c r="B39" s="12">
        <v>106</v>
      </c>
      <c r="C39" s="12">
        <v>88</v>
      </c>
      <c r="D39" s="12">
        <v>73</v>
      </c>
      <c r="E39" s="12">
        <v>66</v>
      </c>
      <c r="F39" s="12">
        <v>53</v>
      </c>
      <c r="G39" s="12">
        <v>32</v>
      </c>
      <c r="H39" s="12"/>
      <c r="I39" s="12"/>
      <c r="J39" s="12"/>
      <c r="K39" s="12"/>
      <c r="L39" s="12"/>
      <c r="M39" s="12"/>
      <c r="N39" s="12"/>
      <c r="O39" s="12"/>
    </row>
    <row r="40" spans="1:15" x14ac:dyDescent="0.35">
      <c r="A40" s="11" t="s">
        <v>527</v>
      </c>
      <c r="B40" s="13">
        <v>284</v>
      </c>
      <c r="C40" s="13">
        <v>226</v>
      </c>
      <c r="D40" s="13">
        <v>209</v>
      </c>
      <c r="E40" s="13">
        <v>222</v>
      </c>
      <c r="F40" s="13">
        <v>231</v>
      </c>
      <c r="G40" s="13">
        <v>191</v>
      </c>
      <c r="H40" s="13"/>
      <c r="I40" s="13"/>
      <c r="J40" s="13"/>
      <c r="K40" s="13"/>
      <c r="L40" s="13"/>
      <c r="M40" s="13"/>
      <c r="N40" s="13"/>
      <c r="O40" s="13"/>
    </row>
    <row r="41" spans="1:15" x14ac:dyDescent="0.35">
      <c r="A41" s="11" t="s">
        <v>525</v>
      </c>
      <c r="B41" s="13">
        <v>370</v>
      </c>
      <c r="C41" s="13">
        <v>314</v>
      </c>
      <c r="D41" s="13">
        <v>263</v>
      </c>
      <c r="E41" s="13">
        <v>253</v>
      </c>
      <c r="F41" s="13">
        <v>217</v>
      </c>
      <c r="G41" s="13">
        <v>139</v>
      </c>
      <c r="H41" s="13"/>
      <c r="I41" s="13"/>
      <c r="J41" s="13"/>
      <c r="K41" s="13"/>
      <c r="L41" s="13"/>
      <c r="M41" s="13"/>
      <c r="N41" s="13"/>
      <c r="O41" s="13"/>
    </row>
    <row r="42" spans="1:15" x14ac:dyDescent="0.35">
      <c r="A42" s="11" t="s">
        <v>503</v>
      </c>
      <c r="B42" s="13">
        <v>279</v>
      </c>
      <c r="C42" s="13">
        <v>242</v>
      </c>
      <c r="D42" s="13">
        <v>235</v>
      </c>
      <c r="E42" s="13">
        <v>227</v>
      </c>
      <c r="F42" s="13">
        <v>193</v>
      </c>
      <c r="G42" s="13">
        <v>169</v>
      </c>
      <c r="H42" s="13"/>
      <c r="I42" s="13"/>
      <c r="J42" s="13"/>
      <c r="K42" s="13"/>
      <c r="L42" s="13"/>
      <c r="M42" s="13"/>
      <c r="N42" s="13"/>
      <c r="O42" s="13"/>
    </row>
    <row r="43" spans="1:15" x14ac:dyDescent="0.35">
      <c r="A43" s="11" t="s">
        <v>524</v>
      </c>
      <c r="B43" s="13">
        <v>263</v>
      </c>
      <c r="C43" s="13">
        <v>206</v>
      </c>
      <c r="D43" s="13">
        <v>207</v>
      </c>
      <c r="E43" s="13">
        <v>222</v>
      </c>
      <c r="F43" s="13">
        <v>198</v>
      </c>
      <c r="G43" s="13">
        <v>195</v>
      </c>
      <c r="H43" s="13"/>
      <c r="I43" s="13"/>
      <c r="J43" s="13"/>
      <c r="K43" s="13"/>
      <c r="L43" s="13"/>
      <c r="M43" s="13"/>
      <c r="N43" s="13"/>
      <c r="O43" s="13"/>
    </row>
    <row r="44" spans="1:15" x14ac:dyDescent="0.35">
      <c r="A44" s="11" t="s">
        <v>526</v>
      </c>
      <c r="B44" s="13">
        <v>366</v>
      </c>
      <c r="C44" s="13">
        <v>391</v>
      </c>
      <c r="D44" s="13">
        <v>349</v>
      </c>
      <c r="E44" s="13">
        <v>295</v>
      </c>
      <c r="F44" s="13">
        <v>302</v>
      </c>
      <c r="G44" s="13">
        <v>242</v>
      </c>
      <c r="H44" s="13"/>
      <c r="I44" s="13"/>
      <c r="J44" s="13"/>
      <c r="K44" s="13"/>
      <c r="L44" s="13"/>
      <c r="M44" s="13"/>
      <c r="N44" s="13"/>
      <c r="O44" s="13"/>
    </row>
    <row r="45" spans="1:15" x14ac:dyDescent="0.35">
      <c r="A45" s="11" t="s">
        <v>523</v>
      </c>
      <c r="B45" s="13">
        <v>401</v>
      </c>
      <c r="C45" s="13">
        <v>423</v>
      </c>
      <c r="D45" s="13">
        <v>360</v>
      </c>
      <c r="E45" s="13">
        <v>322</v>
      </c>
      <c r="F45" s="13">
        <v>320</v>
      </c>
      <c r="G45" s="13">
        <v>261</v>
      </c>
      <c r="H45" s="13"/>
      <c r="I45" s="13"/>
      <c r="J45" s="13"/>
      <c r="K45" s="13"/>
      <c r="L45" s="13"/>
      <c r="M45" s="13"/>
      <c r="N45" s="13"/>
      <c r="O45" s="13"/>
    </row>
    <row r="46" spans="1:15" x14ac:dyDescent="0.35">
      <c r="A46" s="11" t="s">
        <v>395</v>
      </c>
      <c r="B46" s="13">
        <v>2069</v>
      </c>
      <c r="C46" s="13">
        <v>1890</v>
      </c>
      <c r="D46" s="13">
        <v>1696</v>
      </c>
      <c r="E46" s="13">
        <v>1607</v>
      </c>
      <c r="F46" s="13">
        <v>1514</v>
      </c>
      <c r="G46" s="13">
        <v>1229</v>
      </c>
      <c r="H46" s="13"/>
      <c r="I46" s="13"/>
      <c r="J46" s="13"/>
      <c r="K46" s="13"/>
      <c r="L46" s="13"/>
      <c r="M46" s="13"/>
      <c r="N46" s="13"/>
      <c r="O46" s="13"/>
    </row>
    <row r="47" spans="1:15" x14ac:dyDescent="0.35">
      <c r="A47" s="11"/>
      <c r="B47" s="13"/>
      <c r="C47" s="13"/>
      <c r="D47" s="13"/>
      <c r="E47" s="13"/>
      <c r="F47" s="13"/>
      <c r="G47" s="13"/>
      <c r="H47" s="13"/>
      <c r="I47" s="13"/>
      <c r="J47" s="13"/>
      <c r="K47" s="13"/>
      <c r="L47" s="13"/>
      <c r="M47" s="13"/>
      <c r="N47" s="13"/>
      <c r="O47" s="13"/>
    </row>
    <row r="48" spans="1:15" x14ac:dyDescent="0.35">
      <c r="A48" s="11"/>
      <c r="B48" s="13"/>
      <c r="C48" s="13"/>
      <c r="D48" s="13"/>
      <c r="E48" s="13"/>
      <c r="F48" s="13"/>
      <c r="G48" s="13"/>
      <c r="H48" s="13"/>
      <c r="I48" s="13"/>
      <c r="J48" s="13"/>
      <c r="K48" s="13"/>
      <c r="L48" s="13"/>
      <c r="M48" s="13"/>
      <c r="N48" s="13"/>
      <c r="O48" s="13"/>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199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198</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532</v>
      </c>
      <c r="B8" s="15">
        <v>0.14000000000000001</v>
      </c>
      <c r="C8" s="15">
        <v>6.3E-2</v>
      </c>
      <c r="D8" s="15">
        <v>0.05</v>
      </c>
      <c r="E8" s="15">
        <v>5.0999999999999997E-2</v>
      </c>
      <c r="F8" s="15">
        <v>0.09</v>
      </c>
      <c r="G8" s="15">
        <v>8.6999999999999994E-2</v>
      </c>
      <c r="H8" s="15"/>
      <c r="I8" s="15"/>
      <c r="J8" s="15"/>
      <c r="K8" s="15"/>
      <c r="L8" s="15"/>
      <c r="M8" s="15"/>
      <c r="N8" s="15"/>
      <c r="O8" s="15"/>
    </row>
    <row r="9" spans="1:15" x14ac:dyDescent="0.35">
      <c r="A9" s="11" t="s">
        <v>531</v>
      </c>
      <c r="B9" s="16">
        <v>5.0999999999999997E-2</v>
      </c>
      <c r="C9" s="16">
        <v>5.2999999999999999E-2</v>
      </c>
      <c r="D9" s="16">
        <v>5.8000000000000003E-2</v>
      </c>
      <c r="E9" s="16">
        <v>5.7000000000000002E-2</v>
      </c>
      <c r="F9" s="16">
        <v>3.4000000000000002E-2</v>
      </c>
      <c r="G9" s="16">
        <v>1.4999999999999999E-2</v>
      </c>
      <c r="H9" s="16"/>
      <c r="I9" s="16"/>
      <c r="J9" s="16"/>
      <c r="K9" s="16"/>
      <c r="L9" s="16"/>
      <c r="M9" s="16"/>
      <c r="N9" s="16"/>
      <c r="O9" s="16"/>
    </row>
    <row r="10" spans="1:15" x14ac:dyDescent="0.35">
      <c r="A10" s="11" t="s">
        <v>530</v>
      </c>
      <c r="B10" s="16">
        <v>4.7E-2</v>
      </c>
      <c r="C10" s="16">
        <v>5.0999999999999997E-2</v>
      </c>
      <c r="D10" s="16">
        <v>2.5999999999999999E-2</v>
      </c>
      <c r="E10" s="16">
        <v>2.7E-2</v>
      </c>
      <c r="F10" s="16">
        <v>4.2999999999999997E-2</v>
      </c>
      <c r="G10" s="16">
        <v>2.1000000000000001E-2</v>
      </c>
      <c r="H10" s="16"/>
      <c r="I10" s="16"/>
      <c r="J10" s="16"/>
      <c r="K10" s="16"/>
      <c r="L10" s="16"/>
      <c r="M10" s="16"/>
      <c r="N10" s="16"/>
      <c r="O10" s="16"/>
    </row>
    <row r="11" spans="1:15" x14ac:dyDescent="0.35">
      <c r="A11" s="11" t="s">
        <v>529</v>
      </c>
      <c r="B11" s="16">
        <v>4.0000000000000001E-3</v>
      </c>
      <c r="C11" s="16">
        <v>8.9999999999999993E-3</v>
      </c>
      <c r="D11" s="16">
        <v>5.0000000000000001E-3</v>
      </c>
      <c r="E11" s="16">
        <v>5.0000000000000001E-3</v>
      </c>
      <c r="F11" s="16">
        <v>5.0000000000000001E-3</v>
      </c>
      <c r="G11" s="16">
        <v>8.9999999999999993E-3</v>
      </c>
      <c r="H11" s="16"/>
      <c r="I11" s="16"/>
      <c r="J11" s="16"/>
      <c r="K11" s="16"/>
      <c r="L11" s="16"/>
      <c r="M11" s="16"/>
      <c r="N11" s="16"/>
      <c r="O11" s="16"/>
    </row>
    <row r="12" spans="1:15" x14ac:dyDescent="0.35">
      <c r="A12" s="11" t="s">
        <v>395</v>
      </c>
      <c r="B12" s="16">
        <v>5.6000000000000001E-2</v>
      </c>
      <c r="C12" s="16">
        <v>0.04</v>
      </c>
      <c r="D12" s="16">
        <v>2.8000000000000001E-2</v>
      </c>
      <c r="E12" s="16">
        <v>2.9000000000000001E-2</v>
      </c>
      <c r="F12" s="16">
        <v>4.1000000000000002E-2</v>
      </c>
      <c r="G12" s="16">
        <v>3.3000000000000002E-2</v>
      </c>
      <c r="H12" s="16"/>
      <c r="I12" s="16"/>
      <c r="J12" s="16"/>
      <c r="K12" s="16"/>
      <c r="L12" s="16"/>
      <c r="M12" s="16"/>
      <c r="N12" s="16"/>
      <c r="O12" s="16"/>
    </row>
    <row r="13" spans="1:15" ht="30" customHeight="1" x14ac:dyDescent="0.4">
      <c r="A13" s="5" t="s">
        <v>195</v>
      </c>
      <c r="B13" s="16"/>
      <c r="C13" s="16"/>
      <c r="D13" s="16"/>
      <c r="E13" s="16"/>
      <c r="F13" s="16"/>
      <c r="G13" s="16"/>
      <c r="H13" s="16"/>
      <c r="I13" s="16"/>
      <c r="J13" s="16"/>
      <c r="K13" s="16"/>
      <c r="L13" s="16"/>
      <c r="M13" s="16"/>
      <c r="N13" s="16"/>
      <c r="O13" s="16"/>
    </row>
    <row r="14" spans="1:15" x14ac:dyDescent="0.35">
      <c r="A14" s="11" t="s">
        <v>386</v>
      </c>
      <c r="B14" s="16" t="s">
        <v>389</v>
      </c>
      <c r="C14" s="16" t="s">
        <v>390</v>
      </c>
      <c r="D14" s="16" t="s">
        <v>391</v>
      </c>
      <c r="E14" s="16" t="s">
        <v>392</v>
      </c>
      <c r="F14" s="16" t="s">
        <v>393</v>
      </c>
      <c r="G14" s="16" t="s">
        <v>394</v>
      </c>
      <c r="H14" s="16"/>
      <c r="I14" s="16"/>
      <c r="J14" s="16"/>
      <c r="K14" s="16"/>
      <c r="L14" s="16"/>
      <c r="M14" s="16"/>
      <c r="N14" s="16"/>
      <c r="O14" s="16"/>
    </row>
    <row r="15" spans="1:15" x14ac:dyDescent="0.35">
      <c r="A15" s="8" t="s">
        <v>532</v>
      </c>
      <c r="B15" s="15">
        <v>0.59</v>
      </c>
      <c r="C15" s="15">
        <v>0.37</v>
      </c>
      <c r="D15" s="15">
        <v>0.4</v>
      </c>
      <c r="E15" s="15">
        <v>0.37</v>
      </c>
      <c r="F15" s="15">
        <v>0.54</v>
      </c>
      <c r="G15" s="15">
        <v>0.68</v>
      </c>
      <c r="H15" s="15"/>
      <c r="I15" s="15"/>
      <c r="J15" s="15"/>
      <c r="K15" s="15"/>
      <c r="L15" s="15"/>
      <c r="M15" s="15"/>
      <c r="N15" s="15"/>
      <c r="O15" s="15"/>
    </row>
    <row r="16" spans="1:15" x14ac:dyDescent="0.35">
      <c r="A16" s="11" t="s">
        <v>531</v>
      </c>
      <c r="B16" s="16">
        <v>0.11</v>
      </c>
      <c r="C16" s="16">
        <v>0.15</v>
      </c>
      <c r="D16" s="16">
        <v>0.25</v>
      </c>
      <c r="E16" s="16">
        <v>0.27</v>
      </c>
      <c r="F16" s="16">
        <v>0.1</v>
      </c>
      <c r="G16" s="16">
        <v>0.06</v>
      </c>
      <c r="H16" s="16"/>
      <c r="I16" s="16"/>
      <c r="J16" s="16"/>
      <c r="K16" s="16"/>
      <c r="L16" s="16"/>
      <c r="M16" s="16"/>
      <c r="N16" s="16"/>
      <c r="O16" s="16"/>
    </row>
    <row r="17" spans="1:15" x14ac:dyDescent="0.35">
      <c r="A17" s="11" t="s">
        <v>530</v>
      </c>
      <c r="B17" s="16">
        <v>0.28000000000000003</v>
      </c>
      <c r="C17" s="16">
        <v>0.4</v>
      </c>
      <c r="D17" s="16">
        <v>0.28999999999999998</v>
      </c>
      <c r="E17" s="16">
        <v>0.31</v>
      </c>
      <c r="F17" s="16">
        <v>0.33</v>
      </c>
      <c r="G17" s="16">
        <v>0.17</v>
      </c>
      <c r="H17" s="16"/>
      <c r="I17" s="16"/>
      <c r="J17" s="16"/>
      <c r="K17" s="16"/>
      <c r="L17" s="16"/>
      <c r="M17" s="16"/>
      <c r="N17" s="16"/>
      <c r="O17" s="16"/>
    </row>
    <row r="18" spans="1:15" x14ac:dyDescent="0.35">
      <c r="A18" s="11" t="s">
        <v>529</v>
      </c>
      <c r="B18" s="16">
        <v>0.02</v>
      </c>
      <c r="C18" s="16">
        <v>0.08</v>
      </c>
      <c r="D18" s="16">
        <v>0.06</v>
      </c>
      <c r="E18" s="16">
        <v>0.05</v>
      </c>
      <c r="F18" s="16">
        <v>0.04</v>
      </c>
      <c r="G18" s="16">
        <v>0.09</v>
      </c>
      <c r="H18" s="16"/>
      <c r="I18" s="16"/>
      <c r="J18" s="16"/>
      <c r="K18" s="16"/>
      <c r="L18" s="16"/>
      <c r="M18" s="16"/>
      <c r="N18" s="16"/>
      <c r="O18" s="16"/>
    </row>
    <row r="19" spans="1:15" x14ac:dyDescent="0.35">
      <c r="A19" s="11" t="s">
        <v>395</v>
      </c>
      <c r="B19" s="16">
        <v>1</v>
      </c>
      <c r="C19" s="16">
        <v>1</v>
      </c>
      <c r="D19" s="16">
        <v>1</v>
      </c>
      <c r="E19" s="16">
        <v>1</v>
      </c>
      <c r="F19" s="16">
        <v>1</v>
      </c>
      <c r="G19" s="16">
        <v>1</v>
      </c>
      <c r="H19" s="16"/>
      <c r="I19" s="16"/>
      <c r="J19" s="16"/>
      <c r="K19" s="16"/>
      <c r="L19" s="16"/>
      <c r="M19" s="16"/>
      <c r="N19" s="16"/>
      <c r="O19" s="16"/>
    </row>
    <row r="20" spans="1:15" ht="30" customHeight="1" x14ac:dyDescent="0.4">
      <c r="A20" s="5" t="s">
        <v>196</v>
      </c>
      <c r="B20" s="16"/>
      <c r="C20" s="16"/>
      <c r="D20" s="16"/>
      <c r="E20" s="16"/>
      <c r="F20" s="16"/>
      <c r="G20" s="16"/>
      <c r="H20" s="16"/>
      <c r="I20" s="16"/>
      <c r="J20" s="16"/>
      <c r="K20" s="16"/>
      <c r="L20" s="16"/>
      <c r="M20" s="16"/>
      <c r="N20" s="16"/>
      <c r="O20" s="16"/>
    </row>
    <row r="21" spans="1:15" x14ac:dyDescent="0.35">
      <c r="A21" s="11" t="s">
        <v>386</v>
      </c>
      <c r="B21" s="16" t="s">
        <v>389</v>
      </c>
      <c r="C21" s="16" t="s">
        <v>390</v>
      </c>
      <c r="D21" s="16" t="s">
        <v>391</v>
      </c>
      <c r="E21" s="16" t="s">
        <v>392</v>
      </c>
      <c r="F21" s="16" t="s">
        <v>393</v>
      </c>
      <c r="G21" s="16" t="s">
        <v>394</v>
      </c>
      <c r="H21" s="16"/>
      <c r="I21" s="16"/>
      <c r="J21" s="16"/>
      <c r="K21" s="16"/>
      <c r="L21" s="16"/>
      <c r="M21" s="16"/>
      <c r="N21" s="16"/>
      <c r="O21" s="16"/>
    </row>
    <row r="22" spans="1:15" x14ac:dyDescent="0.35">
      <c r="A22" s="8" t="s">
        <v>532</v>
      </c>
      <c r="B22" s="12">
        <v>43</v>
      </c>
      <c r="C22" s="12">
        <v>39</v>
      </c>
      <c r="D22" s="12">
        <v>48</v>
      </c>
      <c r="E22" s="12">
        <v>42</v>
      </c>
      <c r="F22" s="12">
        <v>45</v>
      </c>
      <c r="G22" s="12">
        <v>32</v>
      </c>
      <c r="H22" s="12"/>
      <c r="I22" s="12"/>
      <c r="J22" s="12"/>
      <c r="K22" s="12"/>
      <c r="L22" s="12"/>
      <c r="M22" s="12"/>
      <c r="N22" s="12"/>
      <c r="O22" s="12"/>
    </row>
    <row r="23" spans="1:15" x14ac:dyDescent="0.35">
      <c r="A23" s="11" t="s">
        <v>531</v>
      </c>
      <c r="B23" s="13">
        <v>40</v>
      </c>
      <c r="C23" s="13">
        <v>32</v>
      </c>
      <c r="D23" s="13">
        <v>30</v>
      </c>
      <c r="E23" s="13">
        <v>40</v>
      </c>
      <c r="F23" s="13">
        <v>40</v>
      </c>
      <c r="G23" s="13">
        <v>42</v>
      </c>
      <c r="H23" s="13"/>
      <c r="I23" s="13"/>
      <c r="J23" s="13"/>
      <c r="K23" s="13"/>
      <c r="L23" s="13"/>
      <c r="M23" s="13"/>
      <c r="N23" s="13"/>
      <c r="O23" s="13"/>
    </row>
    <row r="24" spans="1:15" x14ac:dyDescent="0.35">
      <c r="A24" s="11" t="s">
        <v>530</v>
      </c>
      <c r="B24" s="13">
        <v>44</v>
      </c>
      <c r="C24" s="13">
        <v>44</v>
      </c>
      <c r="D24" s="13">
        <v>43</v>
      </c>
      <c r="E24" s="13">
        <v>41</v>
      </c>
      <c r="F24" s="13">
        <v>42</v>
      </c>
      <c r="G24" s="13">
        <v>33</v>
      </c>
      <c r="H24" s="13"/>
      <c r="I24" s="13"/>
      <c r="J24" s="13"/>
      <c r="K24" s="13"/>
      <c r="L24" s="13"/>
      <c r="M24" s="13"/>
      <c r="N24" s="13"/>
      <c r="O24" s="13"/>
    </row>
    <row r="25" spans="1:15" x14ac:dyDescent="0.35">
      <c r="A25" s="11" t="s">
        <v>529</v>
      </c>
      <c r="B25" s="13">
        <v>45</v>
      </c>
      <c r="C25" s="13">
        <v>62</v>
      </c>
      <c r="D25" s="13">
        <v>31</v>
      </c>
      <c r="E25" s="13">
        <v>34</v>
      </c>
      <c r="F25" s="13">
        <v>72</v>
      </c>
      <c r="G25" s="13">
        <v>47</v>
      </c>
      <c r="H25" s="13"/>
      <c r="I25" s="13"/>
      <c r="J25" s="13"/>
      <c r="K25" s="13"/>
      <c r="L25" s="13"/>
      <c r="M25" s="13"/>
      <c r="N25" s="13"/>
      <c r="O25" s="13"/>
    </row>
    <row r="26" spans="1:15" x14ac:dyDescent="0.35">
      <c r="A26" s="11" t="s">
        <v>395</v>
      </c>
      <c r="B26" s="13">
        <v>44</v>
      </c>
      <c r="C26" s="13">
        <v>43</v>
      </c>
      <c r="D26" s="13">
        <v>41</v>
      </c>
      <c r="E26" s="13">
        <v>40</v>
      </c>
      <c r="F26" s="13">
        <v>43</v>
      </c>
      <c r="G26" s="13">
        <v>37</v>
      </c>
      <c r="H26" s="13"/>
      <c r="I26" s="13"/>
      <c r="J26" s="13"/>
      <c r="K26" s="13"/>
      <c r="L26" s="13"/>
      <c r="M26" s="13"/>
      <c r="N26" s="13"/>
      <c r="O26" s="13"/>
    </row>
    <row r="27" spans="1:15" ht="30" customHeight="1" x14ac:dyDescent="0.4">
      <c r="A27" s="5" t="s">
        <v>197</v>
      </c>
      <c r="B27" s="13"/>
      <c r="C27" s="13"/>
      <c r="D27" s="13"/>
      <c r="E27" s="13"/>
      <c r="F27" s="13"/>
      <c r="G27" s="13"/>
      <c r="H27" s="13"/>
      <c r="I27" s="13"/>
      <c r="J27" s="13"/>
      <c r="K27" s="13"/>
      <c r="L27" s="13"/>
      <c r="M27" s="13"/>
      <c r="N27" s="13"/>
      <c r="O27" s="13"/>
    </row>
    <row r="28" spans="1:15" x14ac:dyDescent="0.35">
      <c r="A28" s="11" t="s">
        <v>386</v>
      </c>
      <c r="B28" s="13" t="s">
        <v>389</v>
      </c>
      <c r="C28" s="13" t="s">
        <v>390</v>
      </c>
      <c r="D28" s="13" t="s">
        <v>391</v>
      </c>
      <c r="E28" s="13" t="s">
        <v>392</v>
      </c>
      <c r="F28" s="13" t="s">
        <v>393</v>
      </c>
      <c r="G28" s="13" t="s">
        <v>394</v>
      </c>
      <c r="H28" s="13"/>
      <c r="I28" s="13"/>
      <c r="J28" s="13"/>
      <c r="K28" s="13"/>
      <c r="L28" s="13"/>
      <c r="M28" s="13"/>
      <c r="N28" s="13"/>
      <c r="O28" s="13"/>
    </row>
    <row r="29" spans="1:15" x14ac:dyDescent="0.35">
      <c r="A29" s="8" t="s">
        <v>532</v>
      </c>
      <c r="B29" s="12">
        <v>449</v>
      </c>
      <c r="C29" s="12">
        <v>404</v>
      </c>
      <c r="D29" s="12">
        <v>349</v>
      </c>
      <c r="E29" s="12">
        <v>309</v>
      </c>
      <c r="F29" s="12">
        <v>295</v>
      </c>
      <c r="G29" s="12">
        <v>193</v>
      </c>
      <c r="H29" s="12"/>
      <c r="I29" s="12"/>
      <c r="J29" s="12"/>
      <c r="K29" s="12"/>
      <c r="L29" s="12"/>
      <c r="M29" s="12"/>
      <c r="N29" s="12"/>
      <c r="O29" s="12"/>
    </row>
    <row r="30" spans="1:15" x14ac:dyDescent="0.35">
      <c r="A30" s="11" t="s">
        <v>531</v>
      </c>
      <c r="B30" s="13">
        <v>194</v>
      </c>
      <c r="C30" s="13">
        <v>156</v>
      </c>
      <c r="D30" s="13">
        <v>143</v>
      </c>
      <c r="E30" s="13">
        <v>148</v>
      </c>
      <c r="F30" s="13">
        <v>118</v>
      </c>
      <c r="G30" s="13">
        <v>87</v>
      </c>
      <c r="H30" s="13"/>
      <c r="I30" s="13"/>
      <c r="J30" s="13"/>
      <c r="K30" s="13"/>
      <c r="L30" s="13"/>
      <c r="M30" s="13"/>
      <c r="N30" s="13"/>
      <c r="O30" s="13"/>
    </row>
    <row r="31" spans="1:15" x14ac:dyDescent="0.35">
      <c r="A31" s="11" t="s">
        <v>530</v>
      </c>
      <c r="B31" s="13">
        <v>634</v>
      </c>
      <c r="C31" s="13">
        <v>537</v>
      </c>
      <c r="D31" s="13">
        <v>446</v>
      </c>
      <c r="E31" s="13">
        <v>428</v>
      </c>
      <c r="F31" s="13">
        <v>373</v>
      </c>
      <c r="G31" s="13">
        <v>283</v>
      </c>
      <c r="H31" s="13"/>
      <c r="I31" s="13"/>
      <c r="J31" s="13"/>
      <c r="K31" s="13"/>
      <c r="L31" s="13"/>
      <c r="M31" s="13"/>
      <c r="N31" s="13"/>
      <c r="O31" s="13"/>
    </row>
    <row r="32" spans="1:15" x14ac:dyDescent="0.35">
      <c r="A32" s="11" t="s">
        <v>529</v>
      </c>
      <c r="B32" s="13">
        <v>791</v>
      </c>
      <c r="C32" s="13">
        <v>793</v>
      </c>
      <c r="D32" s="13">
        <v>758</v>
      </c>
      <c r="E32" s="13">
        <v>722</v>
      </c>
      <c r="F32" s="13">
        <v>728</v>
      </c>
      <c r="G32" s="13">
        <v>666</v>
      </c>
      <c r="H32" s="13"/>
      <c r="I32" s="13"/>
      <c r="J32" s="13"/>
      <c r="K32" s="13"/>
      <c r="L32" s="13"/>
      <c r="M32" s="13"/>
      <c r="N32" s="13"/>
      <c r="O32" s="13"/>
    </row>
    <row r="33" spans="1:15" x14ac:dyDescent="0.35">
      <c r="A33" s="11" t="s">
        <v>395</v>
      </c>
      <c r="B33" s="13">
        <v>2068</v>
      </c>
      <c r="C33" s="13">
        <v>1890</v>
      </c>
      <c r="D33" s="13">
        <v>1696</v>
      </c>
      <c r="E33" s="13">
        <v>1607</v>
      </c>
      <c r="F33" s="13">
        <v>1514</v>
      </c>
      <c r="G33" s="13">
        <v>1229</v>
      </c>
      <c r="H33" s="13"/>
      <c r="I33" s="13"/>
      <c r="J33" s="13"/>
      <c r="K33" s="13"/>
      <c r="L33" s="13"/>
      <c r="M33" s="13"/>
      <c r="N33" s="13"/>
      <c r="O33" s="13"/>
    </row>
    <row r="34" spans="1:15" x14ac:dyDescent="0.35">
      <c r="A34" s="11"/>
      <c r="B34" s="13"/>
      <c r="C34" s="13"/>
      <c r="D34" s="13"/>
      <c r="E34" s="13"/>
      <c r="F34" s="13"/>
      <c r="G34" s="13"/>
      <c r="H34" s="13"/>
      <c r="I34" s="13"/>
      <c r="J34" s="13"/>
      <c r="K34" s="13"/>
      <c r="L34" s="13"/>
      <c r="M34" s="13"/>
      <c r="N34" s="13"/>
      <c r="O34" s="13"/>
    </row>
    <row r="35" spans="1:15" x14ac:dyDescent="0.35">
      <c r="A35" s="11"/>
      <c r="B35" s="13"/>
      <c r="C35" s="13"/>
      <c r="D35" s="13"/>
      <c r="E35" s="13"/>
      <c r="F35" s="13"/>
      <c r="G35" s="13"/>
      <c r="H35" s="13"/>
      <c r="I35" s="13"/>
      <c r="J35" s="13"/>
      <c r="K35" s="13"/>
      <c r="L35" s="13"/>
      <c r="M35" s="13"/>
      <c r="N35" s="13"/>
      <c r="O35" s="13"/>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204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ht="29" x14ac:dyDescent="0.35">
      <c r="A4" s="8" t="s">
        <v>564</v>
      </c>
      <c r="B4" s="9"/>
      <c r="C4" s="9"/>
      <c r="D4" s="9"/>
      <c r="E4" s="9"/>
      <c r="F4" s="9"/>
      <c r="G4" s="9"/>
      <c r="H4" s="9"/>
      <c r="I4" s="9"/>
      <c r="J4" s="9"/>
      <c r="K4" s="9"/>
      <c r="L4" s="9"/>
      <c r="M4" s="9"/>
      <c r="N4" s="9"/>
      <c r="O4" s="9"/>
    </row>
    <row r="5" spans="1:15" x14ac:dyDescent="0.35">
      <c r="A5" s="8" t="s">
        <v>565</v>
      </c>
      <c r="B5" s="9"/>
      <c r="C5" s="9"/>
      <c r="D5" s="9"/>
      <c r="E5" s="9"/>
      <c r="F5" s="9"/>
      <c r="G5" s="9"/>
      <c r="H5" s="9"/>
      <c r="I5" s="9"/>
      <c r="J5" s="9"/>
      <c r="K5" s="9"/>
      <c r="L5" s="9"/>
      <c r="M5" s="9"/>
      <c r="N5" s="9"/>
      <c r="O5" s="9"/>
    </row>
    <row r="6" spans="1:15" x14ac:dyDescent="0.35">
      <c r="A6" s="10" t="s">
        <v>0</v>
      </c>
      <c r="B6" s="9"/>
      <c r="C6" s="9"/>
      <c r="D6" s="9"/>
      <c r="E6" s="9"/>
      <c r="F6" s="9"/>
      <c r="G6" s="9"/>
      <c r="H6" s="9"/>
      <c r="I6" s="9"/>
      <c r="J6" s="9"/>
      <c r="K6" s="9"/>
      <c r="L6" s="9"/>
      <c r="M6" s="9"/>
      <c r="N6" s="9"/>
      <c r="O6" s="9"/>
    </row>
    <row r="7" spans="1:15" ht="30" customHeight="1" x14ac:dyDescent="0.4">
      <c r="A7" s="5" t="s">
        <v>203</v>
      </c>
      <c r="B7" s="9"/>
      <c r="C7" s="9"/>
      <c r="D7" s="9"/>
      <c r="E7" s="9"/>
      <c r="F7" s="9"/>
      <c r="G7" s="9"/>
      <c r="H7" s="9"/>
      <c r="I7" s="9"/>
      <c r="J7" s="9"/>
      <c r="K7" s="9"/>
      <c r="L7" s="9"/>
      <c r="M7" s="9"/>
      <c r="N7" s="9"/>
      <c r="O7" s="9"/>
    </row>
    <row r="8" spans="1:15" x14ac:dyDescent="0.35">
      <c r="A8" s="11" t="s">
        <v>386</v>
      </c>
      <c r="B8" s="9" t="s">
        <v>389</v>
      </c>
      <c r="C8" s="9" t="s">
        <v>390</v>
      </c>
      <c r="D8" s="9" t="s">
        <v>391</v>
      </c>
      <c r="E8" s="9" t="s">
        <v>392</v>
      </c>
      <c r="F8" s="9" t="s">
        <v>393</v>
      </c>
      <c r="G8" s="9" t="s">
        <v>394</v>
      </c>
      <c r="H8" s="9"/>
      <c r="I8" s="9"/>
      <c r="J8" s="9"/>
      <c r="K8" s="9"/>
      <c r="L8" s="9"/>
      <c r="M8" s="9"/>
      <c r="N8" s="9"/>
      <c r="O8" s="9"/>
    </row>
    <row r="9" spans="1:15" x14ac:dyDescent="0.35">
      <c r="A9" s="8" t="s">
        <v>510</v>
      </c>
      <c r="B9" s="15">
        <v>5.8000000000000003E-2</v>
      </c>
      <c r="C9" s="15">
        <v>0.04</v>
      </c>
      <c r="D9" s="15">
        <v>2.5999999999999999E-2</v>
      </c>
      <c r="E9" s="15">
        <v>0.03</v>
      </c>
      <c r="F9" s="15">
        <v>3.7999999999999999E-2</v>
      </c>
      <c r="G9" s="15">
        <v>3.5000000000000003E-2</v>
      </c>
      <c r="H9" s="15"/>
      <c r="I9" s="15"/>
      <c r="J9" s="15"/>
      <c r="K9" s="15"/>
      <c r="L9" s="15"/>
      <c r="M9" s="15"/>
      <c r="N9" s="15"/>
      <c r="O9" s="15"/>
    </row>
    <row r="10" spans="1:15" x14ac:dyDescent="0.35">
      <c r="A10" s="11" t="s">
        <v>511</v>
      </c>
      <c r="B10" s="16">
        <v>0.03</v>
      </c>
      <c r="C10" s="16">
        <v>3.4000000000000002E-2</v>
      </c>
      <c r="D10" s="16">
        <v>2.4E-2</v>
      </c>
      <c r="E10" s="16">
        <v>1.6E-2</v>
      </c>
      <c r="F10" s="16">
        <v>8.6999999999999994E-2</v>
      </c>
      <c r="G10" s="16">
        <v>3.9E-2</v>
      </c>
      <c r="H10" s="16"/>
      <c r="I10" s="16"/>
      <c r="J10" s="16"/>
      <c r="K10" s="16"/>
      <c r="L10" s="16"/>
      <c r="M10" s="16"/>
      <c r="N10" s="16"/>
      <c r="O10" s="16"/>
    </row>
    <row r="11" spans="1:15" x14ac:dyDescent="0.35">
      <c r="A11" s="11" t="s">
        <v>395</v>
      </c>
      <c r="B11" s="16">
        <v>5.7000000000000002E-2</v>
      </c>
      <c r="C11" s="16">
        <v>3.9E-2</v>
      </c>
      <c r="D11" s="16">
        <v>2.5999999999999999E-2</v>
      </c>
      <c r="E11" s="16">
        <v>2.9000000000000001E-2</v>
      </c>
      <c r="F11" s="16">
        <v>4.2000000000000003E-2</v>
      </c>
      <c r="G11" s="16">
        <v>3.5000000000000003E-2</v>
      </c>
      <c r="H11" s="16"/>
      <c r="I11" s="16"/>
      <c r="J11" s="16"/>
      <c r="K11" s="16"/>
      <c r="L11" s="16"/>
      <c r="M11" s="16"/>
      <c r="N11" s="16"/>
      <c r="O11" s="16"/>
    </row>
    <row r="12" spans="1:15" ht="30" customHeight="1" x14ac:dyDescent="0.4">
      <c r="A12" s="5" t="s">
        <v>200</v>
      </c>
      <c r="B12" s="16"/>
      <c r="C12" s="16"/>
      <c r="D12" s="16"/>
      <c r="E12" s="16"/>
      <c r="F12" s="16"/>
      <c r="G12" s="16"/>
      <c r="H12" s="16"/>
      <c r="I12" s="16"/>
      <c r="J12" s="16"/>
      <c r="K12" s="16"/>
      <c r="L12" s="16"/>
      <c r="M12" s="16"/>
      <c r="N12" s="16"/>
      <c r="O12" s="16"/>
    </row>
    <row r="13" spans="1:15" x14ac:dyDescent="0.35">
      <c r="A13" s="11" t="s">
        <v>386</v>
      </c>
      <c r="B13" s="16" t="s">
        <v>389</v>
      </c>
      <c r="C13" s="16" t="s">
        <v>390</v>
      </c>
      <c r="D13" s="16" t="s">
        <v>391</v>
      </c>
      <c r="E13" s="16" t="s">
        <v>392</v>
      </c>
      <c r="F13" s="16" t="s">
        <v>393</v>
      </c>
      <c r="G13" s="16" t="s">
        <v>394</v>
      </c>
      <c r="H13" s="16"/>
      <c r="I13" s="16"/>
      <c r="J13" s="16"/>
      <c r="K13" s="16"/>
      <c r="L13" s="16"/>
      <c r="M13" s="16"/>
      <c r="N13" s="16"/>
      <c r="O13" s="16"/>
    </row>
    <row r="14" spans="1:15" x14ac:dyDescent="0.35">
      <c r="A14" s="8" t="s">
        <v>510</v>
      </c>
      <c r="B14" s="15">
        <v>0.97</v>
      </c>
      <c r="C14" s="15">
        <v>0.95</v>
      </c>
      <c r="D14" s="15">
        <v>0.95</v>
      </c>
      <c r="E14" s="15">
        <v>0.96</v>
      </c>
      <c r="F14" s="15">
        <v>0.83</v>
      </c>
      <c r="G14" s="15">
        <v>0.91</v>
      </c>
      <c r="H14" s="15"/>
      <c r="I14" s="15"/>
      <c r="J14" s="15"/>
      <c r="K14" s="15"/>
      <c r="L14" s="15"/>
      <c r="M14" s="15"/>
      <c r="N14" s="15"/>
      <c r="O14" s="15"/>
    </row>
    <row r="15" spans="1:15" x14ac:dyDescent="0.35">
      <c r="A15" s="11" t="s">
        <v>511</v>
      </c>
      <c r="B15" s="16">
        <v>0.03</v>
      </c>
      <c r="C15" s="16">
        <v>0.05</v>
      </c>
      <c r="D15" s="16">
        <v>0.05</v>
      </c>
      <c r="E15" s="16">
        <v>0.04</v>
      </c>
      <c r="F15" s="16">
        <v>0.17</v>
      </c>
      <c r="G15" s="16">
        <v>0.09</v>
      </c>
      <c r="H15" s="16"/>
      <c r="I15" s="16"/>
      <c r="J15" s="16"/>
      <c r="K15" s="16"/>
      <c r="L15" s="16"/>
      <c r="M15" s="16"/>
      <c r="N15" s="16"/>
      <c r="O15" s="16"/>
    </row>
    <row r="16" spans="1:15" x14ac:dyDescent="0.35">
      <c r="A16" s="11" t="s">
        <v>395</v>
      </c>
      <c r="B16" s="16">
        <v>1</v>
      </c>
      <c r="C16" s="16">
        <v>1</v>
      </c>
      <c r="D16" s="16">
        <v>1</v>
      </c>
      <c r="E16" s="16">
        <v>1</v>
      </c>
      <c r="F16" s="16">
        <v>1</v>
      </c>
      <c r="G16" s="16">
        <v>1</v>
      </c>
      <c r="H16" s="16"/>
      <c r="I16" s="16"/>
      <c r="J16" s="16"/>
      <c r="K16" s="16"/>
      <c r="L16" s="16"/>
      <c r="M16" s="16"/>
      <c r="N16" s="16"/>
      <c r="O16" s="16"/>
    </row>
    <row r="17" spans="1:15" ht="30" customHeight="1" x14ac:dyDescent="0.4">
      <c r="A17" s="5" t="s">
        <v>201</v>
      </c>
      <c r="B17" s="16"/>
      <c r="C17" s="16"/>
      <c r="D17" s="16"/>
      <c r="E17" s="16"/>
      <c r="F17" s="16"/>
      <c r="G17" s="16"/>
      <c r="H17" s="16"/>
      <c r="I17" s="16"/>
      <c r="J17" s="16"/>
      <c r="K17" s="16"/>
      <c r="L17" s="16"/>
      <c r="M17" s="16"/>
      <c r="N17" s="16"/>
      <c r="O17" s="16"/>
    </row>
    <row r="18" spans="1:15" x14ac:dyDescent="0.35">
      <c r="A18" s="11" t="s">
        <v>386</v>
      </c>
      <c r="B18" s="16" t="s">
        <v>389</v>
      </c>
      <c r="C18" s="16" t="s">
        <v>390</v>
      </c>
      <c r="D18" s="16" t="s">
        <v>391</v>
      </c>
      <c r="E18" s="16" t="s">
        <v>392</v>
      </c>
      <c r="F18" s="16" t="s">
        <v>393</v>
      </c>
      <c r="G18" s="16" t="s">
        <v>394</v>
      </c>
      <c r="H18" s="16"/>
      <c r="I18" s="16"/>
      <c r="J18" s="16"/>
      <c r="K18" s="16"/>
      <c r="L18" s="16"/>
      <c r="M18" s="16"/>
      <c r="N18" s="16"/>
      <c r="O18" s="16"/>
    </row>
    <row r="19" spans="1:15" x14ac:dyDescent="0.35">
      <c r="A19" s="8" t="s">
        <v>510</v>
      </c>
      <c r="B19" s="12">
        <v>44</v>
      </c>
      <c r="C19" s="12">
        <v>43</v>
      </c>
      <c r="D19" s="12">
        <v>44</v>
      </c>
      <c r="E19" s="12">
        <v>41</v>
      </c>
      <c r="F19" s="12">
        <v>44</v>
      </c>
      <c r="G19" s="12">
        <v>46</v>
      </c>
      <c r="H19" s="12"/>
      <c r="I19" s="12"/>
      <c r="J19" s="12"/>
      <c r="K19" s="12"/>
      <c r="L19" s="12"/>
      <c r="M19" s="12"/>
      <c r="N19" s="12"/>
      <c r="O19" s="12"/>
    </row>
    <row r="20" spans="1:15" x14ac:dyDescent="0.35">
      <c r="A20" s="11" t="s">
        <v>511</v>
      </c>
      <c r="B20" s="13">
        <v>31</v>
      </c>
      <c r="C20" s="13">
        <v>33</v>
      </c>
      <c r="D20" s="13">
        <v>32</v>
      </c>
      <c r="E20" s="13">
        <v>38</v>
      </c>
      <c r="F20" s="13">
        <v>41</v>
      </c>
      <c r="G20" s="13">
        <v>33</v>
      </c>
      <c r="H20" s="13"/>
      <c r="I20" s="13"/>
      <c r="J20" s="13"/>
      <c r="K20" s="13"/>
      <c r="L20" s="13"/>
      <c r="M20" s="13"/>
      <c r="N20" s="13"/>
      <c r="O20" s="13"/>
    </row>
    <row r="21" spans="1:15" x14ac:dyDescent="0.35">
      <c r="A21" s="11" t="s">
        <v>395</v>
      </c>
      <c r="B21" s="13">
        <v>43</v>
      </c>
      <c r="C21" s="13">
        <v>42</v>
      </c>
      <c r="D21" s="13">
        <v>39</v>
      </c>
      <c r="E21" s="13">
        <v>41</v>
      </c>
      <c r="F21" s="13">
        <v>43</v>
      </c>
      <c r="G21" s="13">
        <v>37</v>
      </c>
      <c r="H21" s="13"/>
      <c r="I21" s="13"/>
      <c r="J21" s="13"/>
      <c r="K21" s="13"/>
      <c r="L21" s="13"/>
      <c r="M21" s="13"/>
      <c r="N21" s="13"/>
      <c r="O21" s="13"/>
    </row>
    <row r="22" spans="1:15" ht="30" customHeight="1" x14ac:dyDescent="0.4">
      <c r="A22" s="5" t="s">
        <v>202</v>
      </c>
      <c r="B22" s="13"/>
      <c r="C22" s="13"/>
      <c r="D22" s="13"/>
      <c r="E22" s="13"/>
      <c r="F22" s="13"/>
      <c r="G22" s="13"/>
      <c r="H22" s="13"/>
      <c r="I22" s="13"/>
      <c r="J22" s="13"/>
      <c r="K22" s="13"/>
      <c r="L22" s="13"/>
      <c r="M22" s="13"/>
      <c r="N22" s="13"/>
      <c r="O22" s="13"/>
    </row>
    <row r="23" spans="1:15" x14ac:dyDescent="0.35">
      <c r="A23" s="11" t="s">
        <v>386</v>
      </c>
      <c r="B23" s="13" t="s">
        <v>389</v>
      </c>
      <c r="C23" s="13" t="s">
        <v>390</v>
      </c>
      <c r="D23" s="13" t="s">
        <v>391</v>
      </c>
      <c r="E23" s="13" t="s">
        <v>392</v>
      </c>
      <c r="F23" s="13" t="s">
        <v>393</v>
      </c>
      <c r="G23" s="13" t="s">
        <v>394</v>
      </c>
      <c r="H23" s="13"/>
      <c r="I23" s="13"/>
      <c r="J23" s="13"/>
      <c r="K23" s="13"/>
      <c r="L23" s="13"/>
      <c r="M23" s="13"/>
      <c r="N23" s="13"/>
      <c r="O23" s="13"/>
    </row>
    <row r="24" spans="1:15" x14ac:dyDescent="0.35">
      <c r="A24" s="8" t="s">
        <v>510</v>
      </c>
      <c r="B24" s="12">
        <v>1926</v>
      </c>
      <c r="C24" s="12">
        <v>1767</v>
      </c>
      <c r="D24" s="12">
        <v>1542</v>
      </c>
      <c r="E24" s="12">
        <v>1367</v>
      </c>
      <c r="F24" s="12">
        <v>1338</v>
      </c>
      <c r="G24" s="12">
        <v>1057</v>
      </c>
      <c r="H24" s="12"/>
      <c r="I24" s="12"/>
      <c r="J24" s="12"/>
      <c r="K24" s="12"/>
      <c r="L24" s="12"/>
      <c r="M24" s="12"/>
      <c r="N24" s="12"/>
      <c r="O24" s="12"/>
    </row>
    <row r="25" spans="1:15" x14ac:dyDescent="0.35">
      <c r="A25" s="11" t="s">
        <v>511</v>
      </c>
      <c r="B25" s="13">
        <v>86</v>
      </c>
      <c r="C25" s="13">
        <v>71</v>
      </c>
      <c r="D25" s="13">
        <v>61</v>
      </c>
      <c r="E25" s="13">
        <v>67</v>
      </c>
      <c r="F25" s="13">
        <v>76</v>
      </c>
      <c r="G25" s="13">
        <v>63</v>
      </c>
      <c r="H25" s="13"/>
      <c r="I25" s="13"/>
      <c r="J25" s="13"/>
      <c r="K25" s="13"/>
      <c r="L25" s="13"/>
      <c r="M25" s="13"/>
      <c r="N25" s="13"/>
      <c r="O25" s="13"/>
    </row>
    <row r="26" spans="1:15" x14ac:dyDescent="0.35">
      <c r="A26" s="11" t="s">
        <v>395</v>
      </c>
      <c r="B26" s="13">
        <v>2012</v>
      </c>
      <c r="C26" s="13">
        <v>1838</v>
      </c>
      <c r="D26" s="13">
        <v>1603</v>
      </c>
      <c r="E26" s="13">
        <v>1434</v>
      </c>
      <c r="F26" s="13">
        <v>1414</v>
      </c>
      <c r="G26" s="13">
        <v>1120</v>
      </c>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13"/>
      <c r="C28" s="13"/>
      <c r="D28" s="13"/>
      <c r="E28" s="13"/>
      <c r="F28" s="13"/>
      <c r="G28" s="13"/>
      <c r="H28" s="13"/>
      <c r="I28" s="13"/>
      <c r="J28" s="13"/>
      <c r="K28" s="13"/>
      <c r="L28" s="13"/>
      <c r="M28" s="13"/>
      <c r="N28" s="13"/>
      <c r="O28" s="13"/>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209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208</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407</v>
      </c>
      <c r="B8" s="15">
        <v>0.08</v>
      </c>
      <c r="C8" s="15">
        <v>7.0000000000000007E-2</v>
      </c>
      <c r="D8" s="15">
        <v>7.8E-2</v>
      </c>
      <c r="E8" s="15">
        <v>6.3E-2</v>
      </c>
      <c r="F8" s="15">
        <v>6.3E-2</v>
      </c>
      <c r="G8" s="15">
        <v>9.8000000000000004E-2</v>
      </c>
      <c r="H8" s="15"/>
      <c r="I8" s="15"/>
      <c r="J8" s="15"/>
      <c r="K8" s="15"/>
      <c r="L8" s="15"/>
      <c r="M8" s="15"/>
      <c r="N8" s="15"/>
      <c r="O8" s="15"/>
    </row>
    <row r="9" spans="1:15" x14ac:dyDescent="0.35">
      <c r="A9" s="11" t="s">
        <v>408</v>
      </c>
      <c r="B9" s="16">
        <v>0.108</v>
      </c>
      <c r="C9" s="16">
        <v>0.08</v>
      </c>
      <c r="D9" s="16">
        <v>4.2000000000000003E-2</v>
      </c>
      <c r="E9" s="16">
        <v>5.5E-2</v>
      </c>
      <c r="F9" s="16">
        <v>8.2000000000000003E-2</v>
      </c>
      <c r="G9" s="16">
        <v>2.1000000000000001E-2</v>
      </c>
      <c r="H9" s="16"/>
      <c r="I9" s="16"/>
      <c r="J9" s="16"/>
      <c r="K9" s="16"/>
      <c r="L9" s="16"/>
      <c r="M9" s="16"/>
      <c r="N9" s="16"/>
      <c r="O9" s="16"/>
    </row>
    <row r="10" spans="1:15" x14ac:dyDescent="0.35">
      <c r="A10" s="11" t="s">
        <v>409</v>
      </c>
      <c r="B10" s="16">
        <v>0.06</v>
      </c>
      <c r="C10" s="16">
        <v>5.3999999999999999E-2</v>
      </c>
      <c r="D10" s="16">
        <v>3.5999999999999997E-2</v>
      </c>
      <c r="E10" s="16">
        <v>4.1000000000000002E-2</v>
      </c>
      <c r="F10" s="16">
        <v>6.6000000000000003E-2</v>
      </c>
      <c r="G10" s="16">
        <v>4.2999999999999997E-2</v>
      </c>
      <c r="H10" s="16"/>
      <c r="I10" s="16"/>
      <c r="J10" s="16"/>
      <c r="K10" s="16"/>
      <c r="L10" s="16"/>
      <c r="M10" s="16"/>
      <c r="N10" s="16"/>
      <c r="O10" s="16"/>
    </row>
    <row r="11" spans="1:15" x14ac:dyDescent="0.35">
      <c r="A11" s="11" t="s">
        <v>410</v>
      </c>
      <c r="B11" s="16">
        <v>5.3999999999999999E-2</v>
      </c>
      <c r="C11" s="16">
        <v>1.7999999999999999E-2</v>
      </c>
      <c r="D11" s="16">
        <v>1.2999999999999999E-2</v>
      </c>
      <c r="E11" s="16">
        <v>5.0000000000000001E-3</v>
      </c>
      <c r="F11" s="16">
        <v>1.9E-2</v>
      </c>
      <c r="G11" s="16">
        <v>2.5000000000000001E-2</v>
      </c>
      <c r="H11" s="16"/>
      <c r="I11" s="16"/>
      <c r="J11" s="16"/>
      <c r="K11" s="16"/>
      <c r="L11" s="16"/>
      <c r="M11" s="16"/>
      <c r="N11" s="16"/>
      <c r="O11" s="16"/>
    </row>
    <row r="12" spans="1:15" x14ac:dyDescent="0.35">
      <c r="A12" s="11" t="s">
        <v>411</v>
      </c>
      <c r="B12" s="16">
        <v>1.4E-2</v>
      </c>
      <c r="C12" s="16">
        <v>7.0000000000000001E-3</v>
      </c>
      <c r="D12" s="16">
        <v>2E-3</v>
      </c>
      <c r="E12" s="16">
        <v>5.0000000000000001E-3</v>
      </c>
      <c r="F12" s="16">
        <v>6.0000000000000001E-3</v>
      </c>
      <c r="G12" s="16">
        <v>6.0000000000000001E-3</v>
      </c>
      <c r="H12" s="16"/>
      <c r="I12" s="16"/>
      <c r="J12" s="16"/>
      <c r="K12" s="16"/>
      <c r="L12" s="16"/>
      <c r="M12" s="16"/>
      <c r="N12" s="16"/>
      <c r="O12" s="16"/>
    </row>
    <row r="13" spans="1:15" x14ac:dyDescent="0.35">
      <c r="A13" s="11" t="s">
        <v>412</v>
      </c>
      <c r="B13" s="16">
        <v>3.0000000000000001E-3</v>
      </c>
      <c r="C13" s="16">
        <v>1.6E-2</v>
      </c>
      <c r="D13" s="16">
        <v>6.0000000000000001E-3</v>
      </c>
      <c r="E13" s="16">
        <v>0</v>
      </c>
      <c r="F13" s="16">
        <v>1E-3</v>
      </c>
      <c r="G13" s="16">
        <v>0.01</v>
      </c>
      <c r="H13" s="16"/>
      <c r="I13" s="16"/>
      <c r="J13" s="16"/>
      <c r="K13" s="16"/>
      <c r="L13" s="16"/>
      <c r="M13" s="16"/>
      <c r="N13" s="16"/>
      <c r="O13" s="16"/>
    </row>
    <row r="14" spans="1:15" x14ac:dyDescent="0.35">
      <c r="A14" s="11" t="s">
        <v>395</v>
      </c>
      <c r="B14" s="16">
        <v>5.6000000000000001E-2</v>
      </c>
      <c r="C14" s="16">
        <v>0.04</v>
      </c>
      <c r="D14" s="16">
        <v>2.8000000000000001E-2</v>
      </c>
      <c r="E14" s="16">
        <v>2.9000000000000001E-2</v>
      </c>
      <c r="F14" s="16">
        <v>4.1000000000000002E-2</v>
      </c>
      <c r="G14" s="16">
        <v>3.3000000000000002E-2</v>
      </c>
      <c r="H14" s="16"/>
      <c r="I14" s="16"/>
      <c r="J14" s="16"/>
      <c r="K14" s="16"/>
      <c r="L14" s="16"/>
      <c r="M14" s="16"/>
      <c r="N14" s="16"/>
      <c r="O14" s="16"/>
    </row>
    <row r="15" spans="1:15" ht="30" customHeight="1" x14ac:dyDescent="0.4">
      <c r="A15" s="5" t="s">
        <v>205</v>
      </c>
      <c r="B15" s="16"/>
      <c r="C15" s="16"/>
      <c r="D15" s="16"/>
      <c r="E15" s="16"/>
      <c r="F15" s="16"/>
      <c r="G15" s="16"/>
      <c r="H15" s="16"/>
      <c r="I15" s="16"/>
      <c r="J15" s="16"/>
      <c r="K15" s="16"/>
      <c r="L15" s="16"/>
      <c r="M15" s="16"/>
      <c r="N15" s="16"/>
      <c r="O15" s="16"/>
    </row>
    <row r="16" spans="1:15" x14ac:dyDescent="0.35">
      <c r="A16" s="11" t="s">
        <v>386</v>
      </c>
      <c r="B16" s="16" t="s">
        <v>389</v>
      </c>
      <c r="C16" s="16" t="s">
        <v>390</v>
      </c>
      <c r="D16" s="16" t="s">
        <v>391</v>
      </c>
      <c r="E16" s="16" t="s">
        <v>392</v>
      </c>
      <c r="F16" s="16" t="s">
        <v>393</v>
      </c>
      <c r="G16" s="16" t="s">
        <v>394</v>
      </c>
      <c r="H16" s="16"/>
      <c r="I16" s="16"/>
      <c r="J16" s="16"/>
      <c r="K16" s="16"/>
      <c r="L16" s="16"/>
      <c r="M16" s="16"/>
      <c r="N16" s="16"/>
      <c r="O16" s="16"/>
    </row>
    <row r="17" spans="1:15" x14ac:dyDescent="0.35">
      <c r="A17" s="8" t="s">
        <v>407</v>
      </c>
      <c r="B17" s="15">
        <v>0.24</v>
      </c>
      <c r="C17" s="15">
        <v>0.25</v>
      </c>
      <c r="D17" s="15">
        <v>0.36</v>
      </c>
      <c r="E17" s="15">
        <v>0.33</v>
      </c>
      <c r="F17" s="15">
        <v>0.22</v>
      </c>
      <c r="G17" s="15">
        <v>0.45</v>
      </c>
      <c r="H17" s="15"/>
      <c r="I17" s="15"/>
      <c r="J17" s="15"/>
      <c r="K17" s="15"/>
      <c r="L17" s="15"/>
      <c r="M17" s="15"/>
      <c r="N17" s="15"/>
      <c r="O17" s="15"/>
    </row>
    <row r="18" spans="1:15" x14ac:dyDescent="0.35">
      <c r="A18" s="11" t="s">
        <v>408</v>
      </c>
      <c r="B18" s="16">
        <v>0.33</v>
      </c>
      <c r="C18" s="16">
        <v>0.33</v>
      </c>
      <c r="D18" s="16">
        <v>0.23</v>
      </c>
      <c r="E18" s="16">
        <v>0.31</v>
      </c>
      <c r="F18" s="16">
        <v>0.34</v>
      </c>
      <c r="G18" s="16">
        <v>0.08</v>
      </c>
      <c r="H18" s="16"/>
      <c r="I18" s="16"/>
      <c r="J18" s="16"/>
      <c r="K18" s="16"/>
      <c r="L18" s="16"/>
      <c r="M18" s="16"/>
      <c r="N18" s="16"/>
      <c r="O18" s="16"/>
    </row>
    <row r="19" spans="1:15" x14ac:dyDescent="0.35">
      <c r="A19" s="11" t="s">
        <v>409</v>
      </c>
      <c r="B19" s="16">
        <v>0.21</v>
      </c>
      <c r="C19" s="16">
        <v>0.25</v>
      </c>
      <c r="D19" s="16">
        <v>0.28000000000000003</v>
      </c>
      <c r="E19" s="16">
        <v>0.3</v>
      </c>
      <c r="F19" s="16">
        <v>0.32</v>
      </c>
      <c r="G19" s="16">
        <v>0.24</v>
      </c>
      <c r="H19" s="16"/>
      <c r="I19" s="16"/>
      <c r="J19" s="16"/>
      <c r="K19" s="16"/>
      <c r="L19" s="16"/>
      <c r="M19" s="16"/>
      <c r="N19" s="16"/>
      <c r="O19" s="16"/>
    </row>
    <row r="20" spans="1:15" x14ac:dyDescent="0.35">
      <c r="A20" s="11" t="s">
        <v>410</v>
      </c>
      <c r="B20" s="16">
        <v>0.17</v>
      </c>
      <c r="C20" s="16">
        <v>0.09</v>
      </c>
      <c r="D20" s="16">
        <v>0.08</v>
      </c>
      <c r="E20" s="16">
        <v>0.03</v>
      </c>
      <c r="F20" s="16">
        <v>0.09</v>
      </c>
      <c r="G20" s="16">
        <v>0.15</v>
      </c>
      <c r="H20" s="16"/>
      <c r="I20" s="16"/>
      <c r="J20" s="16"/>
      <c r="K20" s="16"/>
      <c r="L20" s="16"/>
      <c r="M20" s="16"/>
      <c r="N20" s="16"/>
      <c r="O20" s="16"/>
    </row>
    <row r="21" spans="1:15" x14ac:dyDescent="0.35">
      <c r="A21" s="11" t="s">
        <v>411</v>
      </c>
      <c r="B21" s="16">
        <v>0.04</v>
      </c>
      <c r="C21" s="16">
        <v>0.03</v>
      </c>
      <c r="D21" s="16">
        <v>0.01</v>
      </c>
      <c r="E21" s="16">
        <v>0.03</v>
      </c>
      <c r="F21" s="16">
        <v>0.02</v>
      </c>
      <c r="G21" s="16">
        <v>0.03</v>
      </c>
      <c r="H21" s="16"/>
      <c r="I21" s="16"/>
      <c r="J21" s="16"/>
      <c r="K21" s="16"/>
      <c r="L21" s="16"/>
      <c r="M21" s="16"/>
      <c r="N21" s="16"/>
      <c r="O21" s="16"/>
    </row>
    <row r="22" spans="1:15" x14ac:dyDescent="0.35">
      <c r="A22" s="11" t="s">
        <v>412</v>
      </c>
      <c r="B22" s="16">
        <v>0.01</v>
      </c>
      <c r="C22" s="16">
        <v>0.06</v>
      </c>
      <c r="D22" s="16">
        <v>0.04</v>
      </c>
      <c r="E22" s="16">
        <v>0</v>
      </c>
      <c r="F22" s="16">
        <v>0</v>
      </c>
      <c r="G22" s="16">
        <v>0.05</v>
      </c>
      <c r="H22" s="16"/>
      <c r="I22" s="16"/>
      <c r="J22" s="16"/>
      <c r="K22" s="16"/>
      <c r="L22" s="16"/>
      <c r="M22" s="16"/>
      <c r="N22" s="16"/>
      <c r="O22" s="16"/>
    </row>
    <row r="23" spans="1:15" x14ac:dyDescent="0.35">
      <c r="A23" s="11" t="s">
        <v>395</v>
      </c>
      <c r="B23" s="16">
        <v>1</v>
      </c>
      <c r="C23" s="16">
        <v>1</v>
      </c>
      <c r="D23" s="16">
        <v>1</v>
      </c>
      <c r="E23" s="16">
        <v>1</v>
      </c>
      <c r="F23" s="16">
        <v>1</v>
      </c>
      <c r="G23" s="16">
        <v>1</v>
      </c>
      <c r="H23" s="16"/>
      <c r="I23" s="16"/>
      <c r="J23" s="16"/>
      <c r="K23" s="16"/>
      <c r="L23" s="16"/>
      <c r="M23" s="16"/>
      <c r="N23" s="16"/>
      <c r="O23" s="16"/>
    </row>
    <row r="24" spans="1:15" ht="30" customHeight="1" x14ac:dyDescent="0.4">
      <c r="A24" s="5" t="s">
        <v>206</v>
      </c>
      <c r="B24" s="16"/>
      <c r="C24" s="16"/>
      <c r="D24" s="16"/>
      <c r="E24" s="16"/>
      <c r="F24" s="16"/>
      <c r="G24" s="16"/>
      <c r="H24" s="16"/>
      <c r="I24" s="16"/>
      <c r="J24" s="16"/>
      <c r="K24" s="16"/>
      <c r="L24" s="16"/>
      <c r="M24" s="16"/>
      <c r="N24" s="16"/>
      <c r="O24" s="16"/>
    </row>
    <row r="25" spans="1:15" x14ac:dyDescent="0.35">
      <c r="A25" s="11" t="s">
        <v>386</v>
      </c>
      <c r="B25" s="16" t="s">
        <v>389</v>
      </c>
      <c r="C25" s="16" t="s">
        <v>390</v>
      </c>
      <c r="D25" s="16" t="s">
        <v>391</v>
      </c>
      <c r="E25" s="16" t="s">
        <v>392</v>
      </c>
      <c r="F25" s="16" t="s">
        <v>393</v>
      </c>
      <c r="G25" s="16" t="s">
        <v>394</v>
      </c>
      <c r="H25" s="16"/>
      <c r="I25" s="16"/>
      <c r="J25" s="16"/>
      <c r="K25" s="16"/>
      <c r="L25" s="16"/>
      <c r="M25" s="16"/>
      <c r="N25" s="16"/>
      <c r="O25" s="16"/>
    </row>
    <row r="26" spans="1:15" x14ac:dyDescent="0.35">
      <c r="A26" s="8" t="s">
        <v>407</v>
      </c>
      <c r="B26" s="12">
        <v>31</v>
      </c>
      <c r="C26" s="12">
        <v>28</v>
      </c>
      <c r="D26" s="12">
        <v>30</v>
      </c>
      <c r="E26" s="12">
        <v>25</v>
      </c>
      <c r="F26" s="12">
        <v>28</v>
      </c>
      <c r="G26" s="12">
        <v>32</v>
      </c>
      <c r="H26" s="12"/>
      <c r="I26" s="12"/>
      <c r="J26" s="12"/>
      <c r="K26" s="12"/>
      <c r="L26" s="12"/>
      <c r="M26" s="12"/>
      <c r="N26" s="12"/>
      <c r="O26" s="12"/>
    </row>
    <row r="27" spans="1:15" x14ac:dyDescent="0.35">
      <c r="A27" s="11" t="s">
        <v>408</v>
      </c>
      <c r="B27" s="13">
        <v>41</v>
      </c>
      <c r="C27" s="13">
        <v>39</v>
      </c>
      <c r="D27" s="13">
        <v>41</v>
      </c>
      <c r="E27" s="13">
        <v>40</v>
      </c>
      <c r="F27" s="13">
        <v>41</v>
      </c>
      <c r="G27" s="13">
        <v>37</v>
      </c>
      <c r="H27" s="13"/>
      <c r="I27" s="13"/>
      <c r="J27" s="13"/>
      <c r="K27" s="13"/>
      <c r="L27" s="13"/>
      <c r="M27" s="13"/>
      <c r="N27" s="13"/>
      <c r="O27" s="13"/>
    </row>
    <row r="28" spans="1:15" x14ac:dyDescent="0.35">
      <c r="A28" s="11" t="s">
        <v>409</v>
      </c>
      <c r="B28" s="13">
        <v>47</v>
      </c>
      <c r="C28" s="13">
        <v>48</v>
      </c>
      <c r="D28" s="13">
        <v>51</v>
      </c>
      <c r="E28" s="13">
        <v>47</v>
      </c>
      <c r="F28" s="13">
        <v>51</v>
      </c>
      <c r="G28" s="13">
        <v>47</v>
      </c>
      <c r="H28" s="13"/>
      <c r="I28" s="13"/>
      <c r="J28" s="13"/>
      <c r="K28" s="13"/>
      <c r="L28" s="13"/>
      <c r="M28" s="13"/>
      <c r="N28" s="13"/>
      <c r="O28" s="13"/>
    </row>
    <row r="29" spans="1:15" x14ac:dyDescent="0.35">
      <c r="A29" s="11" t="s">
        <v>410</v>
      </c>
      <c r="B29" s="13">
        <v>59</v>
      </c>
      <c r="C29" s="13">
        <v>62</v>
      </c>
      <c r="D29" s="13">
        <v>60</v>
      </c>
      <c r="E29" s="13">
        <v>59</v>
      </c>
      <c r="F29" s="13">
        <v>58</v>
      </c>
      <c r="G29" s="13">
        <v>55</v>
      </c>
      <c r="H29" s="13"/>
      <c r="I29" s="13"/>
      <c r="J29" s="13"/>
      <c r="K29" s="13"/>
      <c r="L29" s="13"/>
      <c r="M29" s="13"/>
      <c r="N29" s="13"/>
      <c r="O29" s="13"/>
    </row>
    <row r="30" spans="1:15" x14ac:dyDescent="0.35">
      <c r="A30" s="11" t="s">
        <v>411</v>
      </c>
      <c r="B30" s="13">
        <v>65</v>
      </c>
      <c r="C30" s="13">
        <v>66</v>
      </c>
      <c r="D30" s="13">
        <v>65</v>
      </c>
      <c r="E30" s="13">
        <v>69</v>
      </c>
      <c r="F30" s="13">
        <v>72</v>
      </c>
      <c r="G30" s="13">
        <v>66</v>
      </c>
      <c r="H30" s="13"/>
      <c r="I30" s="13"/>
      <c r="J30" s="13"/>
      <c r="K30" s="13"/>
      <c r="L30" s="13"/>
      <c r="M30" s="13"/>
      <c r="N30" s="13"/>
      <c r="O30" s="13"/>
    </row>
    <row r="31" spans="1:15" x14ac:dyDescent="0.35">
      <c r="A31" s="11" t="s">
        <v>412</v>
      </c>
      <c r="B31" s="13">
        <v>84</v>
      </c>
      <c r="C31" s="13">
        <v>77</v>
      </c>
      <c r="D31" s="13">
        <v>76</v>
      </c>
      <c r="E31" s="13">
        <v>81</v>
      </c>
      <c r="F31" s="13">
        <v>79</v>
      </c>
      <c r="G31" s="13">
        <v>79</v>
      </c>
      <c r="H31" s="13"/>
      <c r="I31" s="13"/>
      <c r="J31" s="13"/>
      <c r="K31" s="13"/>
      <c r="L31" s="13"/>
      <c r="M31" s="13"/>
      <c r="N31" s="13"/>
      <c r="O31" s="13"/>
    </row>
    <row r="32" spans="1:15" x14ac:dyDescent="0.35">
      <c r="A32" s="11" t="s">
        <v>395</v>
      </c>
      <c r="B32" s="13">
        <v>44</v>
      </c>
      <c r="C32" s="13">
        <v>43</v>
      </c>
      <c r="D32" s="13">
        <v>41</v>
      </c>
      <c r="E32" s="13">
        <v>40</v>
      </c>
      <c r="F32" s="13">
        <v>43</v>
      </c>
      <c r="G32" s="13">
        <v>37</v>
      </c>
      <c r="H32" s="13"/>
      <c r="I32" s="13"/>
      <c r="J32" s="13"/>
      <c r="K32" s="13"/>
      <c r="L32" s="13"/>
      <c r="M32" s="13"/>
      <c r="N32" s="13"/>
      <c r="O32" s="13"/>
    </row>
    <row r="33" spans="1:15" ht="30" customHeight="1" x14ac:dyDescent="0.4">
      <c r="A33" s="5" t="s">
        <v>207</v>
      </c>
      <c r="B33" s="13"/>
      <c r="C33" s="13"/>
      <c r="D33" s="13"/>
      <c r="E33" s="13"/>
      <c r="F33" s="13"/>
      <c r="G33" s="13"/>
      <c r="H33" s="13"/>
      <c r="I33" s="13"/>
      <c r="J33" s="13"/>
      <c r="K33" s="13"/>
      <c r="L33" s="13"/>
      <c r="M33" s="13"/>
      <c r="N33" s="13"/>
      <c r="O33" s="13"/>
    </row>
    <row r="34" spans="1:15" x14ac:dyDescent="0.35">
      <c r="A34" s="11" t="s">
        <v>386</v>
      </c>
      <c r="B34" s="13" t="s">
        <v>389</v>
      </c>
      <c r="C34" s="13" t="s">
        <v>390</v>
      </c>
      <c r="D34" s="13" t="s">
        <v>391</v>
      </c>
      <c r="E34" s="13" t="s">
        <v>392</v>
      </c>
      <c r="F34" s="13" t="s">
        <v>393</v>
      </c>
      <c r="G34" s="13" t="s">
        <v>394</v>
      </c>
      <c r="H34" s="13"/>
      <c r="I34" s="13"/>
      <c r="J34" s="13"/>
      <c r="K34" s="13"/>
      <c r="L34" s="13"/>
      <c r="M34" s="13"/>
      <c r="N34" s="13"/>
      <c r="O34" s="13"/>
    </row>
    <row r="35" spans="1:15" x14ac:dyDescent="0.35">
      <c r="A35" s="8" t="s">
        <v>407</v>
      </c>
      <c r="B35" s="12">
        <v>239</v>
      </c>
      <c r="C35" s="12">
        <v>176</v>
      </c>
      <c r="D35" s="12">
        <v>131</v>
      </c>
      <c r="E35" s="12">
        <v>129</v>
      </c>
      <c r="F35" s="12">
        <v>108</v>
      </c>
      <c r="G35" s="12">
        <v>80</v>
      </c>
      <c r="H35" s="12"/>
      <c r="I35" s="12"/>
      <c r="J35" s="12"/>
      <c r="K35" s="12"/>
      <c r="L35" s="12"/>
      <c r="M35" s="12"/>
      <c r="N35" s="12"/>
      <c r="O35" s="12"/>
    </row>
    <row r="36" spans="1:15" x14ac:dyDescent="0.35">
      <c r="A36" s="11" t="s">
        <v>408</v>
      </c>
      <c r="B36" s="13">
        <v>313</v>
      </c>
      <c r="C36" s="13">
        <v>240</v>
      </c>
      <c r="D36" s="13">
        <v>206</v>
      </c>
      <c r="E36" s="13">
        <v>202</v>
      </c>
      <c r="F36" s="13">
        <v>172</v>
      </c>
      <c r="G36" s="13">
        <v>107</v>
      </c>
      <c r="H36" s="13"/>
      <c r="I36" s="13"/>
      <c r="J36" s="13"/>
      <c r="K36" s="13"/>
      <c r="L36" s="13"/>
      <c r="M36" s="13"/>
      <c r="N36" s="13"/>
      <c r="O36" s="13"/>
    </row>
    <row r="37" spans="1:15" x14ac:dyDescent="0.35">
      <c r="A37" s="11" t="s">
        <v>409</v>
      </c>
      <c r="B37" s="13">
        <v>393</v>
      </c>
      <c r="C37" s="13">
        <v>340</v>
      </c>
      <c r="D37" s="13">
        <v>333</v>
      </c>
      <c r="E37" s="13">
        <v>301</v>
      </c>
      <c r="F37" s="13">
        <v>259</v>
      </c>
      <c r="G37" s="13">
        <v>191</v>
      </c>
      <c r="H37" s="13"/>
      <c r="I37" s="13"/>
      <c r="J37" s="13"/>
      <c r="K37" s="13"/>
      <c r="L37" s="13"/>
      <c r="M37" s="13"/>
      <c r="N37" s="13"/>
      <c r="O37" s="13"/>
    </row>
    <row r="38" spans="1:15" x14ac:dyDescent="0.35">
      <c r="A38" s="11" t="s">
        <v>410</v>
      </c>
      <c r="B38" s="13">
        <v>423</v>
      </c>
      <c r="C38" s="13">
        <v>398</v>
      </c>
      <c r="D38" s="13">
        <v>324</v>
      </c>
      <c r="E38" s="13">
        <v>332</v>
      </c>
      <c r="F38" s="13">
        <v>317</v>
      </c>
      <c r="G38" s="13">
        <v>283</v>
      </c>
      <c r="H38" s="13"/>
      <c r="I38" s="13"/>
      <c r="J38" s="13"/>
      <c r="K38" s="13"/>
      <c r="L38" s="13"/>
      <c r="M38" s="13"/>
      <c r="N38" s="13"/>
      <c r="O38" s="13"/>
    </row>
    <row r="39" spans="1:15" x14ac:dyDescent="0.35">
      <c r="A39" s="11" t="s">
        <v>411</v>
      </c>
      <c r="B39" s="13">
        <v>397</v>
      </c>
      <c r="C39" s="13">
        <v>403</v>
      </c>
      <c r="D39" s="13">
        <v>377</v>
      </c>
      <c r="E39" s="13">
        <v>342</v>
      </c>
      <c r="F39" s="13">
        <v>357</v>
      </c>
      <c r="G39" s="13">
        <v>316</v>
      </c>
      <c r="H39" s="13"/>
      <c r="I39" s="13"/>
      <c r="J39" s="13"/>
      <c r="K39" s="13"/>
      <c r="L39" s="13"/>
      <c r="M39" s="13"/>
      <c r="N39" s="13"/>
      <c r="O39" s="13"/>
    </row>
    <row r="40" spans="1:15" x14ac:dyDescent="0.35">
      <c r="A40" s="11" t="s">
        <v>412</v>
      </c>
      <c r="B40" s="13">
        <v>304</v>
      </c>
      <c r="C40" s="13">
        <v>333</v>
      </c>
      <c r="D40" s="13">
        <v>325</v>
      </c>
      <c r="E40" s="13">
        <v>301</v>
      </c>
      <c r="F40" s="13">
        <v>301</v>
      </c>
      <c r="G40" s="13">
        <v>252</v>
      </c>
      <c r="H40" s="13"/>
      <c r="I40" s="13"/>
      <c r="J40" s="13"/>
      <c r="K40" s="13"/>
      <c r="L40" s="13"/>
      <c r="M40" s="13"/>
      <c r="N40" s="13"/>
      <c r="O40" s="13"/>
    </row>
    <row r="41" spans="1:15" x14ac:dyDescent="0.35">
      <c r="A41" s="11" t="s">
        <v>395</v>
      </c>
      <c r="B41" s="13">
        <v>2069</v>
      </c>
      <c r="C41" s="13">
        <v>1890</v>
      </c>
      <c r="D41" s="13">
        <v>1696</v>
      </c>
      <c r="E41" s="13">
        <v>1607</v>
      </c>
      <c r="F41" s="13">
        <v>1514</v>
      </c>
      <c r="G41" s="13">
        <v>1229</v>
      </c>
      <c r="H41" s="13"/>
      <c r="I41" s="13"/>
      <c r="J41" s="13"/>
      <c r="K41" s="13"/>
      <c r="L41" s="13"/>
      <c r="M41" s="13"/>
      <c r="N41" s="13"/>
      <c r="O41" s="13"/>
    </row>
    <row r="42" spans="1:15" x14ac:dyDescent="0.35">
      <c r="A42" s="11"/>
      <c r="B42" s="13"/>
      <c r="C42" s="13"/>
      <c r="D42" s="13"/>
      <c r="E42" s="13"/>
      <c r="F42" s="13"/>
      <c r="G42" s="13"/>
      <c r="H42" s="13"/>
      <c r="I42" s="13"/>
      <c r="J42" s="13"/>
      <c r="K42" s="13"/>
      <c r="L42" s="13"/>
      <c r="M42" s="13"/>
      <c r="N42" s="13"/>
      <c r="O42" s="13"/>
    </row>
    <row r="43" spans="1:15" x14ac:dyDescent="0.35">
      <c r="A43" s="11"/>
      <c r="B43" s="13"/>
      <c r="C43" s="13"/>
      <c r="D43" s="13"/>
      <c r="E43" s="13"/>
      <c r="F43" s="13"/>
      <c r="G43" s="13"/>
      <c r="H43" s="13"/>
      <c r="I43" s="13"/>
      <c r="J43" s="13"/>
      <c r="K43" s="13"/>
      <c r="L43" s="13"/>
      <c r="M43" s="13"/>
      <c r="N43" s="13"/>
      <c r="O43" s="13"/>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214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213</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556</v>
      </c>
      <c r="B8" s="15">
        <v>0.105</v>
      </c>
      <c r="C8" s="15">
        <v>6.6000000000000003E-2</v>
      </c>
      <c r="D8" s="15">
        <v>4.2999999999999997E-2</v>
      </c>
      <c r="E8" s="15">
        <v>4.4999999999999998E-2</v>
      </c>
      <c r="F8" s="15">
        <v>8.2000000000000003E-2</v>
      </c>
      <c r="G8" s="15">
        <v>9.0999999999999998E-2</v>
      </c>
      <c r="H8" s="15"/>
      <c r="I8" s="15"/>
      <c r="J8" s="15"/>
      <c r="K8" s="15"/>
      <c r="L8" s="15"/>
      <c r="M8" s="15"/>
      <c r="N8" s="15"/>
      <c r="O8" s="15"/>
    </row>
    <row r="9" spans="1:15" x14ac:dyDescent="0.35">
      <c r="A9" s="11" t="s">
        <v>557</v>
      </c>
      <c r="B9" s="16">
        <v>3.9E-2</v>
      </c>
      <c r="C9" s="16">
        <v>3.1E-2</v>
      </c>
      <c r="D9" s="16">
        <v>2.3E-2</v>
      </c>
      <c r="E9" s="16">
        <v>2.3E-2</v>
      </c>
      <c r="F9" s="16">
        <v>2.7E-2</v>
      </c>
      <c r="G9" s="16">
        <v>1.7000000000000001E-2</v>
      </c>
      <c r="H9" s="16"/>
      <c r="I9" s="16"/>
      <c r="J9" s="16"/>
      <c r="K9" s="16"/>
      <c r="L9" s="16"/>
      <c r="M9" s="16"/>
      <c r="N9" s="16"/>
      <c r="O9" s="16"/>
    </row>
    <row r="10" spans="1:15" x14ac:dyDescent="0.35">
      <c r="A10" s="11" t="s">
        <v>395</v>
      </c>
      <c r="B10" s="16">
        <v>5.6000000000000001E-2</v>
      </c>
      <c r="C10" s="16">
        <v>0.04</v>
      </c>
      <c r="D10" s="16">
        <v>2.8000000000000001E-2</v>
      </c>
      <c r="E10" s="16">
        <v>2.9000000000000001E-2</v>
      </c>
      <c r="F10" s="16">
        <v>4.1000000000000002E-2</v>
      </c>
      <c r="G10" s="16">
        <v>3.3000000000000002E-2</v>
      </c>
      <c r="H10" s="16"/>
      <c r="I10" s="16"/>
      <c r="J10" s="16"/>
      <c r="K10" s="16"/>
      <c r="L10" s="16"/>
      <c r="M10" s="16"/>
      <c r="N10" s="16"/>
      <c r="O10" s="16"/>
    </row>
    <row r="11" spans="1:15" ht="30" customHeight="1" x14ac:dyDescent="0.4">
      <c r="A11" s="5" t="s">
        <v>210</v>
      </c>
      <c r="B11" s="16"/>
      <c r="C11" s="16"/>
      <c r="D11" s="16"/>
      <c r="E11" s="16"/>
      <c r="F11" s="16"/>
      <c r="G11" s="16"/>
      <c r="H11" s="16"/>
      <c r="I11" s="16"/>
      <c r="J11" s="16"/>
      <c r="K11" s="16"/>
      <c r="L11" s="16"/>
      <c r="M11" s="16"/>
      <c r="N11" s="16"/>
      <c r="O11" s="16"/>
    </row>
    <row r="12" spans="1:15" x14ac:dyDescent="0.35">
      <c r="A12" s="11" t="s">
        <v>386</v>
      </c>
      <c r="B12" s="16" t="s">
        <v>389</v>
      </c>
      <c r="C12" s="16" t="s">
        <v>390</v>
      </c>
      <c r="D12" s="16" t="s">
        <v>391</v>
      </c>
      <c r="E12" s="16" t="s">
        <v>392</v>
      </c>
      <c r="F12" s="16" t="s">
        <v>393</v>
      </c>
      <c r="G12" s="16" t="s">
        <v>394</v>
      </c>
      <c r="H12" s="16"/>
      <c r="I12" s="16"/>
      <c r="J12" s="16"/>
      <c r="K12" s="16"/>
      <c r="L12" s="16"/>
      <c r="M12" s="16"/>
      <c r="N12" s="16"/>
      <c r="O12" s="16"/>
    </row>
    <row r="13" spans="1:15" x14ac:dyDescent="0.35">
      <c r="A13" s="8" t="s">
        <v>556</v>
      </c>
      <c r="B13" s="15">
        <v>0.49</v>
      </c>
      <c r="C13" s="15">
        <v>0.43</v>
      </c>
      <c r="D13" s="15">
        <v>0.4</v>
      </c>
      <c r="E13" s="15">
        <v>0.4</v>
      </c>
      <c r="F13" s="15">
        <v>0.5</v>
      </c>
      <c r="G13" s="15">
        <v>0.61</v>
      </c>
      <c r="H13" s="15"/>
      <c r="I13" s="15"/>
      <c r="J13" s="15"/>
      <c r="K13" s="15"/>
      <c r="L13" s="15"/>
      <c r="M13" s="15"/>
      <c r="N13" s="15"/>
      <c r="O13" s="15"/>
    </row>
    <row r="14" spans="1:15" x14ac:dyDescent="0.35">
      <c r="A14" s="11" t="s">
        <v>557</v>
      </c>
      <c r="B14" s="16">
        <v>0.51</v>
      </c>
      <c r="C14" s="16">
        <v>0.56999999999999995</v>
      </c>
      <c r="D14" s="16">
        <v>0.6</v>
      </c>
      <c r="E14" s="16">
        <v>0.6</v>
      </c>
      <c r="F14" s="16">
        <v>0.5</v>
      </c>
      <c r="G14" s="16">
        <v>0.39</v>
      </c>
      <c r="H14" s="16"/>
      <c r="I14" s="16"/>
      <c r="J14" s="16"/>
      <c r="K14" s="16"/>
      <c r="L14" s="16"/>
      <c r="M14" s="16"/>
      <c r="N14" s="16"/>
      <c r="O14" s="16"/>
    </row>
    <row r="15" spans="1:15" x14ac:dyDescent="0.35">
      <c r="A15" s="11" t="s">
        <v>395</v>
      </c>
      <c r="B15" s="16">
        <v>1</v>
      </c>
      <c r="C15" s="16">
        <v>1</v>
      </c>
      <c r="D15" s="16">
        <v>1</v>
      </c>
      <c r="E15" s="16">
        <v>1</v>
      </c>
      <c r="F15" s="16">
        <v>1</v>
      </c>
      <c r="G15" s="16">
        <v>1</v>
      </c>
      <c r="H15" s="16"/>
      <c r="I15" s="16"/>
      <c r="J15" s="16"/>
      <c r="K15" s="16"/>
      <c r="L15" s="16"/>
      <c r="M15" s="16"/>
      <c r="N15" s="16"/>
      <c r="O15" s="16"/>
    </row>
    <row r="16" spans="1:15" ht="30" customHeight="1" x14ac:dyDescent="0.4">
      <c r="A16" s="5" t="s">
        <v>211</v>
      </c>
      <c r="B16" s="16"/>
      <c r="C16" s="16"/>
      <c r="D16" s="16"/>
      <c r="E16" s="16"/>
      <c r="F16" s="16"/>
      <c r="G16" s="16"/>
      <c r="H16" s="16"/>
      <c r="I16" s="16"/>
      <c r="J16" s="16"/>
      <c r="K16" s="16"/>
      <c r="L16" s="16"/>
      <c r="M16" s="16"/>
      <c r="N16" s="16"/>
      <c r="O16" s="16"/>
    </row>
    <row r="17" spans="1:15" x14ac:dyDescent="0.35">
      <c r="A17" s="11" t="s">
        <v>386</v>
      </c>
      <c r="B17" s="16" t="s">
        <v>389</v>
      </c>
      <c r="C17" s="16" t="s">
        <v>390</v>
      </c>
      <c r="D17" s="16" t="s">
        <v>391</v>
      </c>
      <c r="E17" s="16" t="s">
        <v>392</v>
      </c>
      <c r="F17" s="16" t="s">
        <v>393</v>
      </c>
      <c r="G17" s="16" t="s">
        <v>394</v>
      </c>
      <c r="H17" s="16"/>
      <c r="I17" s="16"/>
      <c r="J17" s="16"/>
      <c r="K17" s="16"/>
      <c r="L17" s="16"/>
      <c r="M17" s="16"/>
      <c r="N17" s="16"/>
      <c r="O17" s="16"/>
    </row>
    <row r="18" spans="1:15" x14ac:dyDescent="0.35">
      <c r="A18" s="8" t="s">
        <v>556</v>
      </c>
      <c r="B18" s="12">
        <v>37</v>
      </c>
      <c r="C18" s="12">
        <v>41</v>
      </c>
      <c r="D18" s="12">
        <v>32</v>
      </c>
      <c r="E18" s="12">
        <v>37</v>
      </c>
      <c r="F18" s="12">
        <v>41</v>
      </c>
      <c r="G18" s="12">
        <v>32</v>
      </c>
      <c r="H18" s="12"/>
      <c r="I18" s="12"/>
      <c r="J18" s="12"/>
      <c r="K18" s="12"/>
      <c r="L18" s="12"/>
      <c r="M18" s="12"/>
      <c r="N18" s="12"/>
      <c r="O18" s="12"/>
    </row>
    <row r="19" spans="1:15" x14ac:dyDescent="0.35">
      <c r="A19" s="11" t="s">
        <v>557</v>
      </c>
      <c r="B19" s="13">
        <v>49</v>
      </c>
      <c r="C19" s="13">
        <v>43</v>
      </c>
      <c r="D19" s="13">
        <v>49</v>
      </c>
      <c r="E19" s="13">
        <v>44</v>
      </c>
      <c r="F19" s="13">
        <v>48</v>
      </c>
      <c r="G19" s="13">
        <v>47</v>
      </c>
      <c r="H19" s="13"/>
      <c r="I19" s="13"/>
      <c r="J19" s="13"/>
      <c r="K19" s="13"/>
      <c r="L19" s="13"/>
      <c r="M19" s="13"/>
      <c r="N19" s="13"/>
      <c r="O19" s="13"/>
    </row>
    <row r="20" spans="1:15" x14ac:dyDescent="0.35">
      <c r="A20" s="11" t="s">
        <v>395</v>
      </c>
      <c r="B20" s="13">
        <v>44</v>
      </c>
      <c r="C20" s="13">
        <v>43</v>
      </c>
      <c r="D20" s="13">
        <v>41</v>
      </c>
      <c r="E20" s="13">
        <v>40</v>
      </c>
      <c r="F20" s="13">
        <v>43</v>
      </c>
      <c r="G20" s="13">
        <v>37</v>
      </c>
      <c r="H20" s="13"/>
      <c r="I20" s="13"/>
      <c r="J20" s="13"/>
      <c r="K20" s="13"/>
      <c r="L20" s="13"/>
      <c r="M20" s="13"/>
      <c r="N20" s="13"/>
      <c r="O20" s="13"/>
    </row>
    <row r="21" spans="1:15" ht="30" customHeight="1" x14ac:dyDescent="0.4">
      <c r="A21" s="5" t="s">
        <v>212</v>
      </c>
      <c r="B21" s="13"/>
      <c r="C21" s="13"/>
      <c r="D21" s="13"/>
      <c r="E21" s="13"/>
      <c r="F21" s="13"/>
      <c r="G21" s="13"/>
      <c r="H21" s="13"/>
      <c r="I21" s="13"/>
      <c r="J21" s="13"/>
      <c r="K21" s="13"/>
      <c r="L21" s="13"/>
      <c r="M21" s="13"/>
      <c r="N21" s="13"/>
      <c r="O21" s="13"/>
    </row>
    <row r="22" spans="1:15" x14ac:dyDescent="0.35">
      <c r="A22" s="11" t="s">
        <v>386</v>
      </c>
      <c r="B22" s="13" t="s">
        <v>389</v>
      </c>
      <c r="C22" s="13" t="s">
        <v>390</v>
      </c>
      <c r="D22" s="13" t="s">
        <v>391</v>
      </c>
      <c r="E22" s="13" t="s">
        <v>392</v>
      </c>
      <c r="F22" s="13" t="s">
        <v>393</v>
      </c>
      <c r="G22" s="13" t="s">
        <v>394</v>
      </c>
      <c r="H22" s="13"/>
      <c r="I22" s="13"/>
      <c r="J22" s="13"/>
      <c r="K22" s="13"/>
      <c r="L22" s="13"/>
      <c r="M22" s="13"/>
      <c r="N22" s="13"/>
      <c r="O22" s="13"/>
    </row>
    <row r="23" spans="1:15" x14ac:dyDescent="0.35">
      <c r="A23" s="8" t="s">
        <v>556</v>
      </c>
      <c r="B23" s="12">
        <v>496</v>
      </c>
      <c r="C23" s="12">
        <v>430</v>
      </c>
      <c r="D23" s="12">
        <v>361</v>
      </c>
      <c r="E23" s="12">
        <v>338</v>
      </c>
      <c r="F23" s="12">
        <v>287</v>
      </c>
      <c r="G23" s="12">
        <v>187</v>
      </c>
      <c r="H23" s="12"/>
      <c r="I23" s="12"/>
      <c r="J23" s="12"/>
      <c r="K23" s="12"/>
      <c r="L23" s="12"/>
      <c r="M23" s="12"/>
      <c r="N23" s="12"/>
      <c r="O23" s="12"/>
    </row>
    <row r="24" spans="1:15" x14ac:dyDescent="0.35">
      <c r="A24" s="11" t="s">
        <v>557</v>
      </c>
      <c r="B24" s="13">
        <v>1573</v>
      </c>
      <c r="C24" s="13">
        <v>1460</v>
      </c>
      <c r="D24" s="13">
        <v>1335</v>
      </c>
      <c r="E24" s="13">
        <v>1269</v>
      </c>
      <c r="F24" s="13">
        <v>1227</v>
      </c>
      <c r="G24" s="13">
        <v>1042</v>
      </c>
      <c r="H24" s="13"/>
      <c r="I24" s="13"/>
      <c r="J24" s="13"/>
      <c r="K24" s="13"/>
      <c r="L24" s="13"/>
      <c r="M24" s="13"/>
      <c r="N24" s="13"/>
      <c r="O24" s="13"/>
    </row>
    <row r="25" spans="1:15" x14ac:dyDescent="0.35">
      <c r="A25" s="11" t="s">
        <v>395</v>
      </c>
      <c r="B25" s="13">
        <v>2069</v>
      </c>
      <c r="C25" s="13">
        <v>1890</v>
      </c>
      <c r="D25" s="13">
        <v>1696</v>
      </c>
      <c r="E25" s="13">
        <v>1607</v>
      </c>
      <c r="F25" s="13">
        <v>1514</v>
      </c>
      <c r="G25" s="13">
        <v>1229</v>
      </c>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219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516</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218</v>
      </c>
      <c r="B6" s="9"/>
      <c r="C6" s="9"/>
      <c r="D6" s="9"/>
      <c r="E6" s="9"/>
      <c r="F6" s="9"/>
      <c r="G6" s="9"/>
      <c r="H6" s="9"/>
      <c r="I6" s="9"/>
      <c r="J6" s="9"/>
      <c r="K6" s="9"/>
      <c r="L6" s="9"/>
      <c r="M6" s="9"/>
      <c r="N6" s="9"/>
      <c r="O6" s="9"/>
    </row>
    <row r="7" spans="1:15" x14ac:dyDescent="0.35">
      <c r="A7" s="11" t="s">
        <v>386</v>
      </c>
      <c r="B7" s="9" t="s">
        <v>391</v>
      </c>
      <c r="C7" s="9" t="s">
        <v>392</v>
      </c>
      <c r="D7" s="9" t="s">
        <v>393</v>
      </c>
      <c r="E7" s="9" t="s">
        <v>394</v>
      </c>
      <c r="F7" s="9"/>
      <c r="G7" s="9"/>
      <c r="H7" s="9"/>
      <c r="I7" s="9"/>
      <c r="J7" s="9"/>
      <c r="K7" s="9"/>
      <c r="L7" s="9"/>
      <c r="M7" s="9"/>
      <c r="N7" s="9"/>
      <c r="O7" s="9"/>
    </row>
    <row r="8" spans="1:15" x14ac:dyDescent="0.35">
      <c r="A8" s="8" t="s">
        <v>521</v>
      </c>
      <c r="B8" s="15">
        <v>0.06</v>
      </c>
      <c r="C8" s="15">
        <v>5.8999999999999997E-2</v>
      </c>
      <c r="D8" s="15">
        <v>0.08</v>
      </c>
      <c r="E8" s="15">
        <v>0.112</v>
      </c>
      <c r="F8" s="15"/>
      <c r="G8" s="15"/>
      <c r="H8" s="15"/>
      <c r="I8" s="15"/>
      <c r="J8" s="15"/>
      <c r="K8" s="15"/>
      <c r="L8" s="15"/>
      <c r="M8" s="15"/>
      <c r="N8" s="15"/>
      <c r="O8" s="15"/>
    </row>
    <row r="9" spans="1:15" x14ac:dyDescent="0.35">
      <c r="A9" s="11" t="s">
        <v>520</v>
      </c>
      <c r="B9" s="16">
        <v>4.2999999999999997E-2</v>
      </c>
      <c r="C9" s="16">
        <v>3.4000000000000002E-2</v>
      </c>
      <c r="D9" s="16">
        <v>6.7000000000000004E-2</v>
      </c>
      <c r="E9" s="16">
        <v>1.4E-2</v>
      </c>
      <c r="F9" s="16"/>
      <c r="G9" s="16"/>
      <c r="H9" s="16"/>
      <c r="I9" s="16"/>
      <c r="J9" s="16"/>
      <c r="K9" s="16"/>
      <c r="L9" s="16"/>
      <c r="M9" s="16"/>
      <c r="N9" s="16"/>
      <c r="O9" s="16"/>
    </row>
    <row r="10" spans="1:15" x14ac:dyDescent="0.35">
      <c r="A10" s="11" t="s">
        <v>519</v>
      </c>
      <c r="B10" s="16">
        <v>5.0000000000000001E-3</v>
      </c>
      <c r="C10" s="16">
        <v>1.7999999999999999E-2</v>
      </c>
      <c r="D10" s="16">
        <v>2.7E-2</v>
      </c>
      <c r="E10" s="16">
        <v>2.1999999999999999E-2</v>
      </c>
      <c r="F10" s="16"/>
      <c r="G10" s="16"/>
      <c r="H10" s="16"/>
      <c r="I10" s="16"/>
      <c r="J10" s="16"/>
      <c r="K10" s="16"/>
      <c r="L10" s="16"/>
      <c r="M10" s="16"/>
      <c r="N10" s="16"/>
      <c r="O10" s="16"/>
    </row>
    <row r="11" spans="1:15" x14ac:dyDescent="0.35">
      <c r="A11" s="11" t="s">
        <v>518</v>
      </c>
      <c r="B11" s="16">
        <v>2.7E-2</v>
      </c>
      <c r="C11" s="16">
        <v>2.8000000000000001E-2</v>
      </c>
      <c r="D11" s="16">
        <v>2.4E-2</v>
      </c>
      <c r="E11" s="16">
        <v>0</v>
      </c>
      <c r="F11" s="16"/>
      <c r="G11" s="16"/>
      <c r="H11" s="16"/>
      <c r="I11" s="16"/>
      <c r="J11" s="16"/>
      <c r="K11" s="16"/>
      <c r="L11" s="16"/>
      <c r="M11" s="16"/>
      <c r="N11" s="16"/>
      <c r="O11" s="16"/>
    </row>
    <row r="12" spans="1:15" x14ac:dyDescent="0.35">
      <c r="A12" s="11" t="s">
        <v>517</v>
      </c>
      <c r="B12" s="16">
        <v>6.0000000000000001E-3</v>
      </c>
      <c r="C12" s="16">
        <v>5.0000000000000001E-3</v>
      </c>
      <c r="D12" s="16">
        <v>7.0000000000000001E-3</v>
      </c>
      <c r="E12" s="16">
        <v>1.6E-2</v>
      </c>
      <c r="F12" s="16"/>
      <c r="G12" s="16"/>
      <c r="H12" s="16"/>
      <c r="I12" s="16"/>
      <c r="J12" s="16"/>
      <c r="K12" s="16"/>
      <c r="L12" s="16"/>
      <c r="M12" s="16"/>
      <c r="N12" s="16"/>
      <c r="O12" s="16"/>
    </row>
    <row r="13" spans="1:15" x14ac:dyDescent="0.35">
      <c r="A13" s="11" t="s">
        <v>395</v>
      </c>
      <c r="B13" s="16">
        <v>2.8000000000000001E-2</v>
      </c>
      <c r="C13" s="16">
        <v>2.9000000000000001E-2</v>
      </c>
      <c r="D13" s="16">
        <v>4.1000000000000002E-2</v>
      </c>
      <c r="E13" s="16">
        <v>3.3000000000000002E-2</v>
      </c>
      <c r="F13" s="16"/>
      <c r="G13" s="16"/>
      <c r="H13" s="16"/>
      <c r="I13" s="16"/>
      <c r="J13" s="16"/>
      <c r="K13" s="16"/>
      <c r="L13" s="16"/>
      <c r="M13" s="16"/>
      <c r="N13" s="16"/>
      <c r="O13" s="16"/>
    </row>
    <row r="14" spans="1:15" ht="30" customHeight="1" x14ac:dyDescent="0.4">
      <c r="A14" s="5" t="s">
        <v>215</v>
      </c>
      <c r="B14" s="16"/>
      <c r="C14" s="16"/>
      <c r="D14" s="16"/>
      <c r="E14" s="16"/>
      <c r="F14" s="16"/>
      <c r="G14" s="16"/>
      <c r="H14" s="16"/>
      <c r="I14" s="16"/>
      <c r="J14" s="16"/>
      <c r="K14" s="16"/>
      <c r="L14" s="16"/>
      <c r="M14" s="16"/>
      <c r="N14" s="16"/>
      <c r="O14" s="16"/>
    </row>
    <row r="15" spans="1:15" x14ac:dyDescent="0.35">
      <c r="A15" s="11" t="s">
        <v>386</v>
      </c>
      <c r="B15" s="16" t="s">
        <v>391</v>
      </c>
      <c r="C15" s="16" t="s">
        <v>392</v>
      </c>
      <c r="D15" s="16" t="s">
        <v>393</v>
      </c>
      <c r="E15" s="16" t="s">
        <v>394</v>
      </c>
      <c r="F15" s="16"/>
      <c r="G15" s="16"/>
      <c r="H15" s="16"/>
      <c r="I15" s="16"/>
      <c r="J15" s="16"/>
      <c r="K15" s="16"/>
      <c r="L15" s="16"/>
      <c r="M15" s="16"/>
      <c r="N15" s="16"/>
      <c r="O15" s="16"/>
    </row>
    <row r="16" spans="1:15" x14ac:dyDescent="0.35">
      <c r="A16" s="8" t="s">
        <v>521</v>
      </c>
      <c r="B16" s="15">
        <v>0.43</v>
      </c>
      <c r="C16" s="15">
        <v>0.41</v>
      </c>
      <c r="D16" s="15">
        <v>0.39</v>
      </c>
      <c r="E16" s="15">
        <v>0.68</v>
      </c>
      <c r="F16" s="15"/>
      <c r="G16" s="15"/>
      <c r="H16" s="15"/>
      <c r="I16" s="15"/>
      <c r="J16" s="15"/>
      <c r="K16" s="15"/>
      <c r="L16" s="15"/>
      <c r="M16" s="15"/>
      <c r="N16" s="15"/>
      <c r="O16" s="15"/>
    </row>
    <row r="17" spans="1:15" x14ac:dyDescent="0.35">
      <c r="A17" s="11" t="s">
        <v>520</v>
      </c>
      <c r="B17" s="16">
        <v>0.3</v>
      </c>
      <c r="C17" s="16">
        <v>0.23</v>
      </c>
      <c r="D17" s="16">
        <v>0.33</v>
      </c>
      <c r="E17" s="16">
        <v>0.08</v>
      </c>
      <c r="F17" s="16"/>
      <c r="G17" s="16"/>
      <c r="H17" s="16"/>
      <c r="I17" s="16"/>
      <c r="J17" s="16"/>
      <c r="K17" s="16"/>
      <c r="L17" s="16"/>
      <c r="M17" s="16"/>
      <c r="N17" s="16"/>
      <c r="O17" s="16"/>
    </row>
    <row r="18" spans="1:15" x14ac:dyDescent="0.35">
      <c r="A18" s="11" t="s">
        <v>519</v>
      </c>
      <c r="B18" s="16">
        <v>0.03</v>
      </c>
      <c r="C18" s="16">
        <v>0.12</v>
      </c>
      <c r="D18" s="16">
        <v>0.13</v>
      </c>
      <c r="E18" s="16">
        <v>0.14000000000000001</v>
      </c>
      <c r="F18" s="16"/>
      <c r="G18" s="16"/>
      <c r="H18" s="16"/>
      <c r="I18" s="16"/>
      <c r="J18" s="16"/>
      <c r="K18" s="16"/>
      <c r="L18" s="16"/>
      <c r="M18" s="16"/>
      <c r="N18" s="16"/>
      <c r="O18" s="16"/>
    </row>
    <row r="19" spans="1:15" x14ac:dyDescent="0.35">
      <c r="A19" s="11" t="s">
        <v>518</v>
      </c>
      <c r="B19" s="16">
        <v>0.19</v>
      </c>
      <c r="C19" s="16">
        <v>0.2</v>
      </c>
      <c r="D19" s="16">
        <v>0.12</v>
      </c>
      <c r="E19" s="16">
        <v>0</v>
      </c>
      <c r="F19" s="16"/>
      <c r="G19" s="16"/>
      <c r="H19" s="16"/>
      <c r="I19" s="16"/>
      <c r="J19" s="16"/>
      <c r="K19" s="16"/>
      <c r="L19" s="16"/>
      <c r="M19" s="16"/>
      <c r="N19" s="16"/>
      <c r="O19" s="16"/>
    </row>
    <row r="20" spans="1:15" x14ac:dyDescent="0.35">
      <c r="A20" s="11" t="s">
        <v>517</v>
      </c>
      <c r="B20" s="16">
        <v>0.04</v>
      </c>
      <c r="C20" s="16">
        <v>0.03</v>
      </c>
      <c r="D20" s="16">
        <v>0.03</v>
      </c>
      <c r="E20" s="16">
        <v>0.1</v>
      </c>
      <c r="F20" s="16"/>
      <c r="G20" s="16"/>
      <c r="H20" s="16"/>
      <c r="I20" s="16"/>
      <c r="J20" s="16"/>
      <c r="K20" s="16"/>
      <c r="L20" s="16"/>
      <c r="M20" s="16"/>
      <c r="N20" s="16"/>
      <c r="O20" s="16"/>
    </row>
    <row r="21" spans="1:15" x14ac:dyDescent="0.35">
      <c r="A21" s="11" t="s">
        <v>395</v>
      </c>
      <c r="B21" s="16">
        <v>1</v>
      </c>
      <c r="C21" s="16">
        <v>1</v>
      </c>
      <c r="D21" s="16">
        <v>1</v>
      </c>
      <c r="E21" s="16">
        <v>1</v>
      </c>
      <c r="F21" s="16"/>
      <c r="G21" s="16"/>
      <c r="H21" s="16"/>
      <c r="I21" s="16"/>
      <c r="J21" s="16"/>
      <c r="K21" s="16"/>
      <c r="L21" s="16"/>
      <c r="M21" s="16"/>
      <c r="N21" s="16"/>
      <c r="O21" s="16"/>
    </row>
    <row r="22" spans="1:15" ht="30" customHeight="1" x14ac:dyDescent="0.4">
      <c r="A22" s="5" t="s">
        <v>216</v>
      </c>
      <c r="B22" s="16"/>
      <c r="C22" s="16"/>
      <c r="D22" s="16"/>
      <c r="E22" s="16"/>
      <c r="F22" s="16"/>
      <c r="G22" s="16"/>
      <c r="H22" s="16"/>
      <c r="I22" s="16"/>
      <c r="J22" s="16"/>
      <c r="K22" s="16"/>
      <c r="L22" s="16"/>
      <c r="M22" s="16"/>
      <c r="N22" s="16"/>
      <c r="O22" s="16"/>
    </row>
    <row r="23" spans="1:15" x14ac:dyDescent="0.35">
      <c r="A23" s="11" t="s">
        <v>386</v>
      </c>
      <c r="B23" s="16" t="s">
        <v>391</v>
      </c>
      <c r="C23" s="16" t="s">
        <v>392</v>
      </c>
      <c r="D23" s="16" t="s">
        <v>393</v>
      </c>
      <c r="E23" s="16" t="s">
        <v>394</v>
      </c>
      <c r="F23" s="16"/>
      <c r="G23" s="16"/>
      <c r="H23" s="16"/>
      <c r="I23" s="16"/>
      <c r="J23" s="16"/>
      <c r="K23" s="16"/>
      <c r="L23" s="16"/>
      <c r="M23" s="16"/>
      <c r="N23" s="16"/>
      <c r="O23" s="16"/>
    </row>
    <row r="24" spans="1:15" x14ac:dyDescent="0.35">
      <c r="A24" s="8" t="s">
        <v>521</v>
      </c>
      <c r="B24" s="12">
        <v>39</v>
      </c>
      <c r="C24" s="12">
        <v>41</v>
      </c>
      <c r="D24" s="12">
        <v>45</v>
      </c>
      <c r="E24" s="12">
        <v>32</v>
      </c>
      <c r="F24" s="12"/>
      <c r="G24" s="12"/>
      <c r="H24" s="12"/>
      <c r="I24" s="12"/>
      <c r="J24" s="12"/>
      <c r="K24" s="12"/>
      <c r="L24" s="12"/>
      <c r="M24" s="12"/>
      <c r="N24" s="12"/>
      <c r="O24" s="12"/>
    </row>
    <row r="25" spans="1:15" x14ac:dyDescent="0.35">
      <c r="A25" s="11" t="s">
        <v>520</v>
      </c>
      <c r="B25" s="13">
        <v>34</v>
      </c>
      <c r="C25" s="13">
        <v>42</v>
      </c>
      <c r="D25" s="13">
        <v>42</v>
      </c>
      <c r="E25" s="13">
        <v>42</v>
      </c>
      <c r="F25" s="13"/>
      <c r="G25" s="13"/>
      <c r="H25" s="13"/>
      <c r="I25" s="13"/>
      <c r="J25" s="13"/>
      <c r="K25" s="13"/>
      <c r="L25" s="13"/>
      <c r="M25" s="13"/>
      <c r="N25" s="13"/>
      <c r="O25" s="13"/>
    </row>
    <row r="26" spans="1:15" x14ac:dyDescent="0.35">
      <c r="A26" s="11" t="s">
        <v>519</v>
      </c>
      <c r="B26" s="13">
        <v>51</v>
      </c>
      <c r="C26" s="13">
        <v>45</v>
      </c>
      <c r="D26" s="13">
        <v>47</v>
      </c>
      <c r="E26" s="13">
        <v>47</v>
      </c>
      <c r="F26" s="13"/>
      <c r="G26" s="13"/>
      <c r="H26" s="13"/>
      <c r="I26" s="13"/>
      <c r="J26" s="13"/>
      <c r="K26" s="13"/>
      <c r="L26" s="13"/>
      <c r="M26" s="13"/>
      <c r="N26" s="13"/>
      <c r="O26" s="13"/>
    </row>
    <row r="27" spans="1:15" x14ac:dyDescent="0.35">
      <c r="A27" s="11" t="s">
        <v>518</v>
      </c>
      <c r="B27" s="13">
        <v>41</v>
      </c>
      <c r="C27" s="13">
        <v>33</v>
      </c>
      <c r="D27" s="13">
        <v>43</v>
      </c>
      <c r="E27" s="13">
        <v>56</v>
      </c>
      <c r="F27" s="13"/>
      <c r="G27" s="13"/>
      <c r="H27" s="13"/>
      <c r="I27" s="13"/>
      <c r="J27" s="13"/>
      <c r="K27" s="13"/>
      <c r="L27" s="13"/>
      <c r="M27" s="13"/>
      <c r="N27" s="13"/>
      <c r="O27" s="13"/>
    </row>
    <row r="28" spans="1:15" x14ac:dyDescent="0.35">
      <c r="A28" s="11" t="s">
        <v>517</v>
      </c>
      <c r="B28" s="13">
        <v>50</v>
      </c>
      <c r="C28" s="13">
        <v>48</v>
      </c>
      <c r="D28" s="13">
        <v>32</v>
      </c>
      <c r="E28" s="13">
        <v>49</v>
      </c>
      <c r="F28" s="13"/>
      <c r="G28" s="13"/>
      <c r="H28" s="13"/>
      <c r="I28" s="13"/>
      <c r="J28" s="13"/>
      <c r="K28" s="13"/>
      <c r="L28" s="13"/>
      <c r="M28" s="13"/>
      <c r="N28" s="13"/>
      <c r="O28" s="13"/>
    </row>
    <row r="29" spans="1:15" x14ac:dyDescent="0.35">
      <c r="A29" s="11" t="s">
        <v>395</v>
      </c>
      <c r="B29" s="13">
        <v>41</v>
      </c>
      <c r="C29" s="13">
        <v>40</v>
      </c>
      <c r="D29" s="13">
        <v>43</v>
      </c>
      <c r="E29" s="13">
        <v>37</v>
      </c>
      <c r="F29" s="13"/>
      <c r="G29" s="13"/>
      <c r="H29" s="13"/>
      <c r="I29" s="13"/>
      <c r="J29" s="13"/>
      <c r="K29" s="13"/>
      <c r="L29" s="13"/>
      <c r="M29" s="13"/>
      <c r="N29" s="13"/>
      <c r="O29" s="13"/>
    </row>
    <row r="30" spans="1:15" ht="30" customHeight="1" x14ac:dyDescent="0.4">
      <c r="A30" s="5" t="s">
        <v>217</v>
      </c>
      <c r="B30" s="13"/>
      <c r="C30" s="13"/>
      <c r="D30" s="13"/>
      <c r="E30" s="13"/>
      <c r="F30" s="13"/>
      <c r="G30" s="13"/>
      <c r="H30" s="13"/>
      <c r="I30" s="13"/>
      <c r="J30" s="13"/>
      <c r="K30" s="13"/>
      <c r="L30" s="13"/>
      <c r="M30" s="13"/>
      <c r="N30" s="13"/>
      <c r="O30" s="13"/>
    </row>
    <row r="31" spans="1:15" x14ac:dyDescent="0.35">
      <c r="A31" s="11" t="s">
        <v>386</v>
      </c>
      <c r="B31" s="13" t="s">
        <v>391</v>
      </c>
      <c r="C31" s="13" t="s">
        <v>392</v>
      </c>
      <c r="D31" s="13" t="s">
        <v>393</v>
      </c>
      <c r="E31" s="13" t="s">
        <v>394</v>
      </c>
      <c r="F31" s="13"/>
      <c r="G31" s="13"/>
      <c r="H31" s="13"/>
      <c r="I31" s="13"/>
      <c r="J31" s="13"/>
      <c r="K31" s="13"/>
      <c r="L31" s="13"/>
      <c r="M31" s="13"/>
      <c r="N31" s="13"/>
      <c r="O31" s="13"/>
    </row>
    <row r="32" spans="1:15" x14ac:dyDescent="0.35">
      <c r="A32" s="8" t="s">
        <v>521</v>
      </c>
      <c r="B32" s="12">
        <v>325</v>
      </c>
      <c r="C32" s="12">
        <v>312</v>
      </c>
      <c r="D32" s="12">
        <v>281</v>
      </c>
      <c r="E32" s="12">
        <v>245</v>
      </c>
      <c r="F32" s="12"/>
      <c r="G32" s="12"/>
      <c r="H32" s="12"/>
      <c r="I32" s="12"/>
      <c r="J32" s="12"/>
      <c r="K32" s="12"/>
      <c r="L32" s="12"/>
      <c r="M32" s="12"/>
      <c r="N32" s="12"/>
      <c r="O32" s="12"/>
    </row>
    <row r="33" spans="1:15" x14ac:dyDescent="0.35">
      <c r="A33" s="11" t="s">
        <v>520</v>
      </c>
      <c r="B33" s="13">
        <v>316</v>
      </c>
      <c r="C33" s="13">
        <v>299</v>
      </c>
      <c r="D33" s="13">
        <v>293</v>
      </c>
      <c r="E33" s="13">
        <v>237</v>
      </c>
      <c r="F33" s="13"/>
      <c r="G33" s="13"/>
      <c r="H33" s="13"/>
      <c r="I33" s="13"/>
      <c r="J33" s="13"/>
      <c r="K33" s="13"/>
      <c r="L33" s="13"/>
      <c r="M33" s="13"/>
      <c r="N33" s="13"/>
      <c r="O33" s="13"/>
    </row>
    <row r="34" spans="1:15" x14ac:dyDescent="0.35">
      <c r="A34" s="11" t="s">
        <v>519</v>
      </c>
      <c r="B34" s="13">
        <v>315</v>
      </c>
      <c r="C34" s="13">
        <v>328</v>
      </c>
      <c r="D34" s="13">
        <v>293</v>
      </c>
      <c r="E34" s="13">
        <v>206</v>
      </c>
      <c r="F34" s="13"/>
      <c r="G34" s="13"/>
      <c r="H34" s="13"/>
      <c r="I34" s="13"/>
      <c r="J34" s="13"/>
      <c r="K34" s="13"/>
      <c r="L34" s="13"/>
      <c r="M34" s="13"/>
      <c r="N34" s="13"/>
      <c r="O34" s="13"/>
    </row>
    <row r="35" spans="1:15" x14ac:dyDescent="0.35">
      <c r="A35" s="11" t="s">
        <v>518</v>
      </c>
      <c r="B35" s="13">
        <v>349</v>
      </c>
      <c r="C35" s="13">
        <v>290</v>
      </c>
      <c r="D35" s="13">
        <v>291</v>
      </c>
      <c r="E35" s="13">
        <v>249</v>
      </c>
      <c r="F35" s="13"/>
      <c r="G35" s="13"/>
      <c r="H35" s="13"/>
      <c r="I35" s="13"/>
      <c r="J35" s="13"/>
      <c r="K35" s="13"/>
      <c r="L35" s="13"/>
      <c r="M35" s="13"/>
      <c r="N35" s="13"/>
      <c r="O35" s="13"/>
    </row>
    <row r="36" spans="1:15" x14ac:dyDescent="0.35">
      <c r="A36" s="11" t="s">
        <v>517</v>
      </c>
      <c r="B36" s="13">
        <v>391</v>
      </c>
      <c r="C36" s="13">
        <v>378</v>
      </c>
      <c r="D36" s="13">
        <v>356</v>
      </c>
      <c r="E36" s="13">
        <v>292</v>
      </c>
      <c r="F36" s="13"/>
      <c r="G36" s="13"/>
      <c r="H36" s="13"/>
      <c r="I36" s="13"/>
      <c r="J36" s="13"/>
      <c r="K36" s="13"/>
      <c r="L36" s="13"/>
      <c r="M36" s="13"/>
      <c r="N36" s="13"/>
      <c r="O36" s="13"/>
    </row>
    <row r="37" spans="1:15" x14ac:dyDescent="0.35">
      <c r="A37" s="11" t="s">
        <v>395</v>
      </c>
      <c r="B37" s="13">
        <v>1696</v>
      </c>
      <c r="C37" s="13">
        <v>1607</v>
      </c>
      <c r="D37" s="13">
        <v>1514</v>
      </c>
      <c r="E37" s="13">
        <v>1229</v>
      </c>
      <c r="F37" s="13"/>
      <c r="G37" s="13"/>
      <c r="H37" s="13"/>
      <c r="I37" s="13"/>
      <c r="J37" s="13"/>
      <c r="K37" s="13"/>
      <c r="L37" s="13"/>
      <c r="M37" s="13"/>
      <c r="N37" s="13"/>
      <c r="O37" s="13"/>
    </row>
    <row r="38" spans="1:15" x14ac:dyDescent="0.35">
      <c r="A38" s="11"/>
      <c r="B38" s="13"/>
      <c r="C38" s="13"/>
      <c r="D38" s="13"/>
      <c r="E38" s="13"/>
      <c r="F38" s="13"/>
      <c r="G38" s="13"/>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224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ht="29" x14ac:dyDescent="0.35">
      <c r="A4" s="8" t="s">
        <v>555</v>
      </c>
      <c r="B4" s="9"/>
      <c r="C4" s="9"/>
      <c r="D4" s="9"/>
      <c r="E4" s="9"/>
      <c r="F4" s="9"/>
      <c r="G4" s="9"/>
      <c r="H4" s="9"/>
      <c r="I4" s="9"/>
      <c r="J4" s="9"/>
      <c r="K4" s="9"/>
      <c r="L4" s="9"/>
      <c r="M4" s="9"/>
      <c r="N4" s="9"/>
      <c r="O4" s="9"/>
    </row>
    <row r="5" spans="1:15" x14ac:dyDescent="0.35">
      <c r="A5" s="8" t="s">
        <v>565</v>
      </c>
      <c r="B5" s="9"/>
      <c r="C5" s="9"/>
      <c r="D5" s="9"/>
      <c r="E5" s="9"/>
      <c r="F5" s="9"/>
      <c r="G5" s="9"/>
      <c r="H5" s="9"/>
      <c r="I5" s="9"/>
      <c r="J5" s="9"/>
      <c r="K5" s="9"/>
      <c r="L5" s="9"/>
      <c r="M5" s="9"/>
      <c r="N5" s="9"/>
      <c r="O5" s="9"/>
    </row>
    <row r="6" spans="1:15" x14ac:dyDescent="0.35">
      <c r="A6" s="10" t="s">
        <v>0</v>
      </c>
      <c r="B6" s="9"/>
      <c r="C6" s="9"/>
      <c r="D6" s="9"/>
      <c r="E6" s="9"/>
      <c r="F6" s="9"/>
      <c r="G6" s="9"/>
      <c r="H6" s="9"/>
      <c r="I6" s="9"/>
      <c r="J6" s="9"/>
      <c r="K6" s="9"/>
      <c r="L6" s="9"/>
      <c r="M6" s="9"/>
      <c r="N6" s="9"/>
      <c r="O6" s="9"/>
    </row>
    <row r="7" spans="1:15" ht="30" customHeight="1" x14ac:dyDescent="0.4">
      <c r="A7" s="5" t="s">
        <v>223</v>
      </c>
      <c r="B7" s="9"/>
      <c r="C7" s="9"/>
      <c r="D7" s="9"/>
      <c r="E7" s="9"/>
      <c r="F7" s="9"/>
      <c r="G7" s="9"/>
      <c r="H7" s="9"/>
      <c r="I7" s="9"/>
      <c r="J7" s="9"/>
      <c r="K7" s="9"/>
      <c r="L7" s="9"/>
      <c r="M7" s="9"/>
      <c r="N7" s="9"/>
      <c r="O7" s="9"/>
    </row>
    <row r="8" spans="1:15" x14ac:dyDescent="0.35">
      <c r="A8" s="11" t="s">
        <v>386</v>
      </c>
      <c r="B8" s="9" t="s">
        <v>389</v>
      </c>
      <c r="C8" s="9" t="s">
        <v>390</v>
      </c>
      <c r="D8" s="9" t="s">
        <v>391</v>
      </c>
      <c r="E8" s="9" t="s">
        <v>392</v>
      </c>
      <c r="F8" s="9" t="s">
        <v>393</v>
      </c>
      <c r="G8" s="9" t="s">
        <v>394</v>
      </c>
      <c r="H8" s="9"/>
      <c r="I8" s="9"/>
      <c r="J8" s="9"/>
      <c r="K8" s="9"/>
      <c r="L8" s="9"/>
      <c r="M8" s="9"/>
      <c r="N8" s="9"/>
      <c r="O8" s="9"/>
    </row>
    <row r="9" spans="1:15" x14ac:dyDescent="0.35">
      <c r="A9" s="8" t="s">
        <v>496</v>
      </c>
      <c r="B9" s="15">
        <v>0.115</v>
      </c>
      <c r="C9" s="15">
        <v>6.7000000000000004E-2</v>
      </c>
      <c r="D9" s="15">
        <v>0.06</v>
      </c>
      <c r="E9" s="15">
        <v>0.06</v>
      </c>
      <c r="F9" s="15">
        <v>3.6999999999999998E-2</v>
      </c>
      <c r="G9" s="15">
        <v>6.0999999999999999E-2</v>
      </c>
      <c r="H9" s="15"/>
      <c r="I9" s="15"/>
      <c r="J9" s="15"/>
      <c r="K9" s="15"/>
      <c r="L9" s="15"/>
      <c r="M9" s="15"/>
      <c r="N9" s="15"/>
      <c r="O9" s="15"/>
    </row>
    <row r="10" spans="1:15" x14ac:dyDescent="0.35">
      <c r="A10" s="11" t="s">
        <v>495</v>
      </c>
      <c r="B10" s="16">
        <v>0.1</v>
      </c>
      <c r="C10" s="16">
        <v>6.3E-2</v>
      </c>
      <c r="D10" s="16">
        <v>3.5999999999999997E-2</v>
      </c>
      <c r="E10" s="16">
        <v>4.5999999999999999E-2</v>
      </c>
      <c r="F10" s="16">
        <v>7.5999999999999998E-2</v>
      </c>
      <c r="G10" s="16">
        <v>3.5000000000000003E-2</v>
      </c>
      <c r="H10" s="16"/>
      <c r="I10" s="16"/>
      <c r="J10" s="16"/>
      <c r="K10" s="16"/>
      <c r="L10" s="16"/>
      <c r="M10" s="16"/>
      <c r="N10" s="16"/>
      <c r="O10" s="16"/>
    </row>
    <row r="11" spans="1:15" x14ac:dyDescent="0.35">
      <c r="A11" s="11" t="s">
        <v>497</v>
      </c>
      <c r="B11" s="16">
        <v>8.4000000000000005E-2</v>
      </c>
      <c r="C11" s="16">
        <v>8.6999999999999994E-2</v>
      </c>
      <c r="D11" s="16">
        <v>4.9000000000000002E-2</v>
      </c>
      <c r="E11" s="16">
        <v>5.7000000000000002E-2</v>
      </c>
      <c r="F11" s="16">
        <v>7.3999999999999996E-2</v>
      </c>
      <c r="G11" s="16">
        <v>7.8E-2</v>
      </c>
      <c r="H11" s="16"/>
      <c r="I11" s="16"/>
      <c r="J11" s="16"/>
      <c r="K11" s="16"/>
      <c r="L11" s="16"/>
      <c r="M11" s="16"/>
      <c r="N11" s="16"/>
      <c r="O11" s="16"/>
    </row>
    <row r="12" spans="1:15" x14ac:dyDescent="0.35">
      <c r="A12" s="11" t="s">
        <v>493</v>
      </c>
      <c r="B12" s="16">
        <v>3.7999999999999999E-2</v>
      </c>
      <c r="C12" s="16">
        <v>2.5000000000000001E-2</v>
      </c>
      <c r="D12" s="16">
        <v>1.6E-2</v>
      </c>
      <c r="E12" s="16">
        <v>1.2999999999999999E-2</v>
      </c>
      <c r="F12" s="16">
        <v>2.9000000000000001E-2</v>
      </c>
      <c r="G12" s="16">
        <v>1.7000000000000001E-2</v>
      </c>
      <c r="H12" s="16"/>
      <c r="I12" s="16"/>
      <c r="J12" s="16"/>
      <c r="K12" s="16"/>
      <c r="L12" s="16"/>
      <c r="M12" s="16"/>
      <c r="N12" s="16"/>
      <c r="O12" s="16"/>
    </row>
    <row r="13" spans="1:15" x14ac:dyDescent="0.35">
      <c r="A13" s="11" t="s">
        <v>494</v>
      </c>
      <c r="B13" s="16">
        <v>1.2E-2</v>
      </c>
      <c r="C13" s="16">
        <v>7.0000000000000001E-3</v>
      </c>
      <c r="D13" s="16">
        <v>1.6E-2</v>
      </c>
      <c r="E13" s="16">
        <v>0</v>
      </c>
      <c r="F13" s="16">
        <v>4.0000000000000001E-3</v>
      </c>
      <c r="G13" s="16">
        <v>0</v>
      </c>
      <c r="H13" s="16"/>
      <c r="I13" s="16"/>
      <c r="J13" s="16"/>
      <c r="K13" s="16"/>
      <c r="L13" s="16"/>
      <c r="M13" s="16"/>
      <c r="N13" s="16"/>
      <c r="O13" s="16"/>
    </row>
    <row r="14" spans="1:15" x14ac:dyDescent="0.35">
      <c r="A14" s="11" t="s">
        <v>395</v>
      </c>
      <c r="B14" s="16">
        <v>5.6000000000000001E-2</v>
      </c>
      <c r="C14" s="16">
        <v>0.04</v>
      </c>
      <c r="D14" s="16">
        <v>2.8000000000000001E-2</v>
      </c>
      <c r="E14" s="16">
        <v>2.9000000000000001E-2</v>
      </c>
      <c r="F14" s="16">
        <v>4.1000000000000002E-2</v>
      </c>
      <c r="G14" s="16">
        <v>3.3000000000000002E-2</v>
      </c>
      <c r="H14" s="16"/>
      <c r="I14" s="16"/>
      <c r="J14" s="16"/>
      <c r="K14" s="16"/>
      <c r="L14" s="16"/>
      <c r="M14" s="16"/>
      <c r="N14" s="16"/>
      <c r="O14" s="16"/>
    </row>
    <row r="15" spans="1:15" ht="30" customHeight="1" x14ac:dyDescent="0.4">
      <c r="A15" s="5" t="s">
        <v>220</v>
      </c>
      <c r="B15" s="16"/>
      <c r="C15" s="16"/>
      <c r="D15" s="16"/>
      <c r="E15" s="16"/>
      <c r="F15" s="16"/>
      <c r="G15" s="16"/>
      <c r="H15" s="16"/>
      <c r="I15" s="16"/>
      <c r="J15" s="16"/>
      <c r="K15" s="16"/>
      <c r="L15" s="16"/>
      <c r="M15" s="16"/>
      <c r="N15" s="16"/>
      <c r="O15" s="16"/>
    </row>
    <row r="16" spans="1:15" x14ac:dyDescent="0.35">
      <c r="A16" s="11" t="s">
        <v>386</v>
      </c>
      <c r="B16" s="16" t="s">
        <v>389</v>
      </c>
      <c r="C16" s="16" t="s">
        <v>390</v>
      </c>
      <c r="D16" s="16" t="s">
        <v>391</v>
      </c>
      <c r="E16" s="16" t="s">
        <v>392</v>
      </c>
      <c r="F16" s="16" t="s">
        <v>393</v>
      </c>
      <c r="G16" s="16" t="s">
        <v>394</v>
      </c>
      <c r="H16" s="16"/>
      <c r="I16" s="16"/>
      <c r="J16" s="16"/>
      <c r="K16" s="16"/>
      <c r="L16" s="16"/>
      <c r="M16" s="16"/>
      <c r="N16" s="16"/>
      <c r="O16" s="16"/>
    </row>
    <row r="17" spans="1:15" x14ac:dyDescent="0.35">
      <c r="A17" s="8" t="s">
        <v>496</v>
      </c>
      <c r="B17" s="15">
        <v>0.08</v>
      </c>
      <c r="C17" s="15">
        <v>7.0000000000000007E-2</v>
      </c>
      <c r="D17" s="15">
        <v>0.09</v>
      </c>
      <c r="E17" s="15">
        <v>0.1</v>
      </c>
      <c r="F17" s="15">
        <v>0.04</v>
      </c>
      <c r="G17" s="15">
        <v>0.08</v>
      </c>
      <c r="H17" s="15"/>
      <c r="I17" s="15"/>
      <c r="J17" s="15"/>
      <c r="K17" s="15"/>
      <c r="L17" s="15"/>
      <c r="M17" s="15"/>
      <c r="N17" s="15"/>
      <c r="O17" s="15"/>
    </row>
    <row r="18" spans="1:15" x14ac:dyDescent="0.35">
      <c r="A18" s="11" t="s">
        <v>495</v>
      </c>
      <c r="B18" s="16">
        <v>0.12</v>
      </c>
      <c r="C18" s="16">
        <v>0.11</v>
      </c>
      <c r="D18" s="16">
        <v>0.09</v>
      </c>
      <c r="E18" s="16">
        <v>0.11</v>
      </c>
      <c r="F18" s="16">
        <v>0.13</v>
      </c>
      <c r="G18" s="16">
        <v>0.08</v>
      </c>
      <c r="H18" s="16"/>
      <c r="I18" s="16"/>
      <c r="J18" s="16"/>
      <c r="K18" s="16"/>
      <c r="L18" s="16"/>
      <c r="M18" s="16"/>
      <c r="N18" s="16"/>
      <c r="O18" s="16"/>
    </row>
    <row r="19" spans="1:15" x14ac:dyDescent="0.35">
      <c r="A19" s="11" t="s">
        <v>497</v>
      </c>
      <c r="B19" s="16">
        <v>0.12</v>
      </c>
      <c r="C19" s="16">
        <v>0.16</v>
      </c>
      <c r="D19" s="16">
        <v>0.15</v>
      </c>
      <c r="E19" s="16">
        <v>0.18</v>
      </c>
      <c r="F19" s="16">
        <v>0.16</v>
      </c>
      <c r="G19" s="16">
        <v>0.23</v>
      </c>
      <c r="H19" s="16"/>
      <c r="I19" s="16"/>
      <c r="J19" s="16"/>
      <c r="K19" s="16"/>
      <c r="L19" s="16"/>
      <c r="M19" s="16"/>
      <c r="N19" s="16"/>
      <c r="O19" s="16"/>
    </row>
    <row r="20" spans="1:15" x14ac:dyDescent="0.35">
      <c r="A20" s="11" t="s">
        <v>493</v>
      </c>
      <c r="B20" s="16">
        <v>0.17</v>
      </c>
      <c r="C20" s="16">
        <v>0.15</v>
      </c>
      <c r="D20" s="16">
        <v>0.13</v>
      </c>
      <c r="E20" s="16">
        <v>0.11</v>
      </c>
      <c r="F20" s="16">
        <v>0.16</v>
      </c>
      <c r="G20" s="16">
        <v>0.11</v>
      </c>
      <c r="H20" s="16"/>
      <c r="I20" s="16"/>
      <c r="J20" s="16"/>
      <c r="K20" s="16"/>
      <c r="L20" s="16"/>
      <c r="M20" s="16"/>
      <c r="N20" s="16"/>
      <c r="O20" s="16"/>
    </row>
    <row r="21" spans="1:15" x14ac:dyDescent="0.35">
      <c r="A21" s="11" t="s">
        <v>494</v>
      </c>
      <c r="B21" s="16">
        <v>0.01</v>
      </c>
      <c r="C21" s="16">
        <v>0.01</v>
      </c>
      <c r="D21" s="16">
        <v>0.04</v>
      </c>
      <c r="E21" s="16">
        <v>0</v>
      </c>
      <c r="F21" s="16">
        <v>0.01</v>
      </c>
      <c r="G21" s="16">
        <v>0</v>
      </c>
      <c r="H21" s="16"/>
      <c r="I21" s="16"/>
      <c r="J21" s="16"/>
      <c r="K21" s="16"/>
      <c r="L21" s="16"/>
      <c r="M21" s="16"/>
      <c r="N21" s="16"/>
      <c r="O21" s="16"/>
    </row>
    <row r="22" spans="1:15" x14ac:dyDescent="0.35">
      <c r="A22" s="11" t="s">
        <v>395</v>
      </c>
      <c r="B22" s="16">
        <v>1.5</v>
      </c>
      <c r="C22" s="16">
        <v>1.5</v>
      </c>
      <c r="D22" s="16">
        <v>1.5</v>
      </c>
      <c r="E22" s="16">
        <v>1.5</v>
      </c>
      <c r="F22" s="16">
        <v>1.5</v>
      </c>
      <c r="G22" s="16">
        <v>1.5</v>
      </c>
      <c r="H22" s="16"/>
      <c r="I22" s="16"/>
      <c r="J22" s="16"/>
      <c r="K22" s="16"/>
      <c r="L22" s="16"/>
      <c r="M22" s="16"/>
      <c r="N22" s="16"/>
      <c r="O22" s="16"/>
    </row>
    <row r="23" spans="1:15" ht="30" customHeight="1" x14ac:dyDescent="0.4">
      <c r="A23" s="5" t="s">
        <v>221</v>
      </c>
      <c r="B23" s="16"/>
      <c r="C23" s="16"/>
      <c r="D23" s="16"/>
      <c r="E23" s="16"/>
      <c r="F23" s="16"/>
      <c r="G23" s="16"/>
      <c r="H23" s="16"/>
      <c r="I23" s="16"/>
      <c r="J23" s="16"/>
      <c r="K23" s="16"/>
      <c r="L23" s="16"/>
      <c r="M23" s="16"/>
      <c r="N23" s="16"/>
      <c r="O23" s="16"/>
    </row>
    <row r="24" spans="1:15" x14ac:dyDescent="0.35">
      <c r="A24" s="11" t="s">
        <v>386</v>
      </c>
      <c r="B24" s="16" t="s">
        <v>389</v>
      </c>
      <c r="C24" s="16" t="s">
        <v>390</v>
      </c>
      <c r="D24" s="16" t="s">
        <v>391</v>
      </c>
      <c r="E24" s="16" t="s">
        <v>392</v>
      </c>
      <c r="F24" s="16" t="s">
        <v>393</v>
      </c>
      <c r="G24" s="16" t="s">
        <v>394</v>
      </c>
      <c r="H24" s="16"/>
      <c r="I24" s="16"/>
      <c r="J24" s="16"/>
      <c r="K24" s="16"/>
      <c r="L24" s="16"/>
      <c r="M24" s="16"/>
      <c r="N24" s="16"/>
      <c r="O24" s="16"/>
    </row>
    <row r="25" spans="1:15" x14ac:dyDescent="0.35">
      <c r="A25" s="8" t="s">
        <v>496</v>
      </c>
      <c r="B25" s="12">
        <v>37</v>
      </c>
      <c r="C25" s="12">
        <v>32</v>
      </c>
      <c r="D25" s="12">
        <v>30</v>
      </c>
      <c r="E25" s="12">
        <v>25</v>
      </c>
      <c r="F25" s="12">
        <v>45</v>
      </c>
      <c r="G25" s="12">
        <v>55</v>
      </c>
      <c r="H25" s="12"/>
      <c r="I25" s="12"/>
      <c r="J25" s="12"/>
      <c r="K25" s="12"/>
      <c r="L25" s="12"/>
      <c r="M25" s="12"/>
      <c r="N25" s="12"/>
      <c r="O25" s="12"/>
    </row>
    <row r="26" spans="1:15" x14ac:dyDescent="0.35">
      <c r="A26" s="11" t="s">
        <v>495</v>
      </c>
      <c r="B26" s="13">
        <v>48</v>
      </c>
      <c r="C26" s="13">
        <v>48</v>
      </c>
      <c r="D26" s="13">
        <v>52</v>
      </c>
      <c r="E26" s="13">
        <v>45</v>
      </c>
      <c r="F26" s="13">
        <v>43</v>
      </c>
      <c r="G26" s="13">
        <v>50</v>
      </c>
      <c r="H26" s="13"/>
      <c r="I26" s="13"/>
      <c r="J26" s="13"/>
      <c r="K26" s="13"/>
      <c r="L26" s="13"/>
      <c r="M26" s="13"/>
      <c r="N26" s="13"/>
      <c r="O26" s="13"/>
    </row>
    <row r="27" spans="1:15" x14ac:dyDescent="0.35">
      <c r="A27" s="11" t="s">
        <v>497</v>
      </c>
      <c r="B27" s="13">
        <v>41</v>
      </c>
      <c r="C27" s="13">
        <v>37</v>
      </c>
      <c r="D27" s="13">
        <v>39</v>
      </c>
      <c r="E27" s="13">
        <v>37</v>
      </c>
      <c r="F27" s="13">
        <v>44</v>
      </c>
      <c r="G27" s="13">
        <v>32</v>
      </c>
      <c r="H27" s="13"/>
      <c r="I27" s="13"/>
      <c r="J27" s="13"/>
      <c r="K27" s="13"/>
      <c r="L27" s="13"/>
      <c r="M27" s="13"/>
      <c r="N27" s="13"/>
      <c r="O27" s="13"/>
    </row>
    <row r="28" spans="1:15" x14ac:dyDescent="0.35">
      <c r="A28" s="11" t="s">
        <v>493</v>
      </c>
      <c r="B28" s="13">
        <v>43</v>
      </c>
      <c r="C28" s="13">
        <v>47</v>
      </c>
      <c r="D28" s="13">
        <v>41</v>
      </c>
      <c r="E28" s="13">
        <v>41</v>
      </c>
      <c r="F28" s="13">
        <v>41</v>
      </c>
      <c r="G28" s="13">
        <v>47</v>
      </c>
      <c r="H28" s="13"/>
      <c r="I28" s="13"/>
      <c r="J28" s="13"/>
      <c r="K28" s="13"/>
      <c r="L28" s="13"/>
      <c r="M28" s="13"/>
      <c r="N28" s="13"/>
      <c r="O28" s="13"/>
    </row>
    <row r="29" spans="1:15" x14ac:dyDescent="0.35">
      <c r="A29" s="11" t="s">
        <v>494</v>
      </c>
      <c r="B29" s="13">
        <v>65</v>
      </c>
      <c r="C29" s="13">
        <v>58</v>
      </c>
      <c r="D29" s="13">
        <v>52</v>
      </c>
      <c r="E29" s="13">
        <v>78</v>
      </c>
      <c r="F29" s="13">
        <v>73</v>
      </c>
      <c r="G29" s="13">
        <v>77</v>
      </c>
      <c r="H29" s="13"/>
      <c r="I29" s="13"/>
      <c r="J29" s="13"/>
      <c r="K29" s="13"/>
      <c r="L29" s="13"/>
      <c r="M29" s="13"/>
      <c r="N29" s="13"/>
      <c r="O29" s="13"/>
    </row>
    <row r="30" spans="1:15" x14ac:dyDescent="0.35">
      <c r="A30" s="11" t="s">
        <v>395</v>
      </c>
      <c r="B30" s="13">
        <v>44</v>
      </c>
      <c r="C30" s="13">
        <v>43</v>
      </c>
      <c r="D30" s="13">
        <v>41</v>
      </c>
      <c r="E30" s="13">
        <v>40</v>
      </c>
      <c r="F30" s="13">
        <v>43</v>
      </c>
      <c r="G30" s="13">
        <v>37</v>
      </c>
      <c r="H30" s="13"/>
      <c r="I30" s="13"/>
      <c r="J30" s="13"/>
      <c r="K30" s="13"/>
      <c r="L30" s="13"/>
      <c r="M30" s="13"/>
      <c r="N30" s="13"/>
      <c r="O30" s="13"/>
    </row>
    <row r="31" spans="1:15" ht="30" customHeight="1" x14ac:dyDescent="0.4">
      <c r="A31" s="5" t="s">
        <v>222</v>
      </c>
      <c r="B31" s="13"/>
      <c r="C31" s="13"/>
      <c r="D31" s="13"/>
      <c r="E31" s="13"/>
      <c r="F31" s="13"/>
      <c r="G31" s="13"/>
      <c r="H31" s="13"/>
      <c r="I31" s="13"/>
      <c r="J31" s="13"/>
      <c r="K31" s="13"/>
      <c r="L31" s="13"/>
      <c r="M31" s="13"/>
      <c r="N31" s="13"/>
      <c r="O31" s="13"/>
    </row>
    <row r="32" spans="1:15" x14ac:dyDescent="0.35">
      <c r="A32" s="11" t="s">
        <v>386</v>
      </c>
      <c r="B32" s="13" t="s">
        <v>389</v>
      </c>
      <c r="C32" s="13" t="s">
        <v>390</v>
      </c>
      <c r="D32" s="13" t="s">
        <v>391</v>
      </c>
      <c r="E32" s="13" t="s">
        <v>392</v>
      </c>
      <c r="F32" s="13" t="s">
        <v>393</v>
      </c>
      <c r="G32" s="13" t="s">
        <v>394</v>
      </c>
      <c r="H32" s="13"/>
      <c r="I32" s="13"/>
      <c r="J32" s="13"/>
      <c r="K32" s="13"/>
      <c r="L32" s="13"/>
      <c r="M32" s="13"/>
      <c r="N32" s="13"/>
      <c r="O32" s="13"/>
    </row>
    <row r="33" spans="1:15" x14ac:dyDescent="0.35">
      <c r="A33" s="8" t="s">
        <v>496</v>
      </c>
      <c r="B33" s="12">
        <v>142</v>
      </c>
      <c r="C33" s="12">
        <v>140</v>
      </c>
      <c r="D33" s="12">
        <v>125</v>
      </c>
      <c r="E33" s="12">
        <v>127</v>
      </c>
      <c r="F33" s="12">
        <v>99</v>
      </c>
      <c r="G33" s="12">
        <v>75</v>
      </c>
      <c r="H33" s="12"/>
      <c r="I33" s="12"/>
      <c r="J33" s="12"/>
      <c r="K33" s="12"/>
      <c r="L33" s="12"/>
      <c r="M33" s="12"/>
      <c r="N33" s="12"/>
      <c r="O33" s="12"/>
    </row>
    <row r="34" spans="1:15" x14ac:dyDescent="0.35">
      <c r="A34" s="11" t="s">
        <v>495</v>
      </c>
      <c r="B34" s="13">
        <v>282</v>
      </c>
      <c r="C34" s="13">
        <v>262</v>
      </c>
      <c r="D34" s="13">
        <v>239</v>
      </c>
      <c r="E34" s="13">
        <v>238</v>
      </c>
      <c r="F34" s="13">
        <v>215</v>
      </c>
      <c r="G34" s="13">
        <v>170</v>
      </c>
      <c r="H34" s="13"/>
      <c r="I34" s="13"/>
      <c r="J34" s="13"/>
      <c r="K34" s="13"/>
      <c r="L34" s="13"/>
      <c r="M34" s="13"/>
      <c r="N34" s="13"/>
      <c r="O34" s="13"/>
    </row>
    <row r="35" spans="1:15" x14ac:dyDescent="0.35">
      <c r="A35" s="11" t="s">
        <v>497</v>
      </c>
      <c r="B35" s="13">
        <v>312</v>
      </c>
      <c r="C35" s="13">
        <v>253</v>
      </c>
      <c r="D35" s="13">
        <v>251</v>
      </c>
      <c r="E35" s="13">
        <v>226</v>
      </c>
      <c r="F35" s="13">
        <v>206</v>
      </c>
      <c r="G35" s="13">
        <v>172</v>
      </c>
      <c r="H35" s="13"/>
      <c r="I35" s="13"/>
      <c r="J35" s="13"/>
      <c r="K35" s="13"/>
      <c r="L35" s="13"/>
      <c r="M35" s="13"/>
      <c r="N35" s="13"/>
      <c r="O35" s="13"/>
    </row>
    <row r="36" spans="1:15" x14ac:dyDescent="0.35">
      <c r="A36" s="11" t="s">
        <v>493</v>
      </c>
      <c r="B36" s="13">
        <v>1051</v>
      </c>
      <c r="C36" s="13">
        <v>949</v>
      </c>
      <c r="D36" s="13">
        <v>838</v>
      </c>
      <c r="E36" s="13">
        <v>796</v>
      </c>
      <c r="F36" s="13">
        <v>749</v>
      </c>
      <c r="G36" s="13">
        <v>629</v>
      </c>
      <c r="H36" s="13"/>
      <c r="I36" s="13"/>
      <c r="J36" s="13"/>
      <c r="K36" s="13"/>
      <c r="L36" s="13"/>
      <c r="M36" s="13"/>
      <c r="N36" s="13"/>
      <c r="O36" s="13"/>
    </row>
    <row r="37" spans="1:15" x14ac:dyDescent="0.35">
      <c r="A37" s="11" t="s">
        <v>494</v>
      </c>
      <c r="B37" s="13">
        <v>282</v>
      </c>
      <c r="C37" s="13">
        <v>286</v>
      </c>
      <c r="D37" s="13">
        <v>243</v>
      </c>
      <c r="E37" s="13">
        <v>220</v>
      </c>
      <c r="F37" s="13">
        <v>245</v>
      </c>
      <c r="G37" s="13">
        <v>183</v>
      </c>
      <c r="H37" s="13"/>
      <c r="I37" s="13"/>
      <c r="J37" s="13"/>
      <c r="K37" s="13"/>
      <c r="L37" s="13"/>
      <c r="M37" s="13"/>
      <c r="N37" s="13"/>
      <c r="O37" s="13"/>
    </row>
    <row r="38" spans="1:15" x14ac:dyDescent="0.35">
      <c r="A38" s="11" t="s">
        <v>395</v>
      </c>
      <c r="B38" s="13">
        <v>6207</v>
      </c>
      <c r="C38" s="13">
        <v>5670</v>
      </c>
      <c r="D38" s="13">
        <v>5088</v>
      </c>
      <c r="E38" s="13">
        <v>4821</v>
      </c>
      <c r="F38" s="13">
        <v>4542</v>
      </c>
      <c r="G38" s="13">
        <v>3687</v>
      </c>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13"/>
      <c r="C40" s="13"/>
      <c r="D40" s="13"/>
      <c r="E40" s="13"/>
      <c r="F40" s="13"/>
      <c r="G40" s="13"/>
      <c r="H40" s="13"/>
      <c r="I40" s="13"/>
      <c r="J40" s="13"/>
      <c r="K40" s="13"/>
      <c r="L40" s="13"/>
      <c r="M40" s="13"/>
      <c r="N40" s="13"/>
      <c r="O40" s="13"/>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229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228</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558</v>
      </c>
      <c r="B8" s="15">
        <v>7.9000000000000001E-2</v>
      </c>
      <c r="C8" s="15">
        <v>5.7000000000000002E-2</v>
      </c>
      <c r="D8" s="15">
        <v>3.5000000000000003E-2</v>
      </c>
      <c r="E8" s="15">
        <v>2.3E-2</v>
      </c>
      <c r="F8" s="15">
        <v>5.7000000000000002E-2</v>
      </c>
      <c r="G8" s="15" t="s">
        <v>502</v>
      </c>
      <c r="H8" s="15"/>
      <c r="I8" s="15"/>
      <c r="J8" s="15"/>
      <c r="K8" s="15"/>
      <c r="L8" s="15"/>
      <c r="M8" s="15"/>
      <c r="N8" s="15"/>
      <c r="O8" s="15"/>
    </row>
    <row r="9" spans="1:15" x14ac:dyDescent="0.35">
      <c r="A9" s="11" t="s">
        <v>559</v>
      </c>
      <c r="B9" s="16">
        <v>4.5999999999999999E-2</v>
      </c>
      <c r="C9" s="16">
        <v>3.2000000000000001E-2</v>
      </c>
      <c r="D9" s="16">
        <v>2.5000000000000001E-2</v>
      </c>
      <c r="E9" s="16">
        <v>3.2000000000000001E-2</v>
      </c>
      <c r="F9" s="16">
        <v>3.2000000000000001E-2</v>
      </c>
      <c r="G9" s="16" t="s">
        <v>502</v>
      </c>
      <c r="H9" s="16"/>
      <c r="I9" s="16"/>
      <c r="J9" s="16"/>
      <c r="K9" s="16"/>
      <c r="L9" s="16"/>
      <c r="M9" s="16"/>
      <c r="N9" s="16"/>
      <c r="O9" s="16"/>
    </row>
    <row r="10" spans="1:15" x14ac:dyDescent="0.35">
      <c r="A10" s="11" t="s">
        <v>395</v>
      </c>
      <c r="B10" s="16">
        <v>5.6000000000000001E-2</v>
      </c>
      <c r="C10" s="16">
        <v>0.04</v>
      </c>
      <c r="D10" s="16">
        <v>2.8000000000000001E-2</v>
      </c>
      <c r="E10" s="16">
        <v>2.9000000000000001E-2</v>
      </c>
      <c r="F10" s="16">
        <v>4.1000000000000002E-2</v>
      </c>
      <c r="G10" s="16" t="s">
        <v>502</v>
      </c>
      <c r="H10" s="16"/>
      <c r="I10" s="16"/>
      <c r="J10" s="16"/>
      <c r="K10" s="16"/>
      <c r="L10" s="16"/>
      <c r="M10" s="16"/>
      <c r="N10" s="16"/>
      <c r="O10" s="16"/>
    </row>
    <row r="11" spans="1:15" ht="30" customHeight="1" x14ac:dyDescent="0.4">
      <c r="A11" s="5" t="s">
        <v>225</v>
      </c>
      <c r="B11" s="16"/>
      <c r="C11" s="16"/>
      <c r="D11" s="16"/>
      <c r="E11" s="16"/>
      <c r="F11" s="16"/>
      <c r="G11" s="16"/>
      <c r="H11" s="16"/>
      <c r="I11" s="16"/>
      <c r="J11" s="16"/>
      <c r="K11" s="16"/>
      <c r="L11" s="16"/>
      <c r="M11" s="16"/>
      <c r="N11" s="16"/>
      <c r="O11" s="16"/>
    </row>
    <row r="12" spans="1:15" x14ac:dyDescent="0.35">
      <c r="A12" s="11" t="s">
        <v>386</v>
      </c>
      <c r="B12" s="16" t="s">
        <v>389</v>
      </c>
      <c r="C12" s="16" t="s">
        <v>390</v>
      </c>
      <c r="D12" s="16" t="s">
        <v>391</v>
      </c>
      <c r="E12" s="16" t="s">
        <v>392</v>
      </c>
      <c r="F12" s="16" t="s">
        <v>393</v>
      </c>
      <c r="G12" s="16" t="s">
        <v>394</v>
      </c>
      <c r="H12" s="16"/>
      <c r="I12" s="16"/>
      <c r="J12" s="16"/>
      <c r="K12" s="16"/>
      <c r="L12" s="16"/>
      <c r="M12" s="16"/>
      <c r="N12" s="16"/>
      <c r="O12" s="16"/>
    </row>
    <row r="13" spans="1:15" x14ac:dyDescent="0.35">
      <c r="A13" s="8" t="s">
        <v>558</v>
      </c>
      <c r="B13" s="15">
        <v>0.43</v>
      </c>
      <c r="C13" s="15">
        <v>0.46</v>
      </c>
      <c r="D13" s="15">
        <v>0.41</v>
      </c>
      <c r="E13" s="15">
        <v>0.27</v>
      </c>
      <c r="F13" s="15">
        <v>0.49</v>
      </c>
      <c r="G13" s="15" t="s">
        <v>502</v>
      </c>
      <c r="H13" s="15"/>
      <c r="I13" s="15"/>
      <c r="J13" s="15"/>
      <c r="K13" s="15"/>
      <c r="L13" s="15"/>
      <c r="M13" s="15"/>
      <c r="N13" s="15"/>
      <c r="O13" s="15"/>
    </row>
    <row r="14" spans="1:15" x14ac:dyDescent="0.35">
      <c r="A14" s="11" t="s">
        <v>559</v>
      </c>
      <c r="B14" s="16">
        <v>0.56999999999999995</v>
      </c>
      <c r="C14" s="16">
        <v>0.54</v>
      </c>
      <c r="D14" s="16">
        <v>0.59</v>
      </c>
      <c r="E14" s="16">
        <v>0.73</v>
      </c>
      <c r="F14" s="16">
        <v>0.51</v>
      </c>
      <c r="G14" s="16" t="s">
        <v>502</v>
      </c>
      <c r="H14" s="16"/>
      <c r="I14" s="16"/>
      <c r="J14" s="16"/>
      <c r="K14" s="16"/>
      <c r="L14" s="16"/>
      <c r="M14" s="16"/>
      <c r="N14" s="16"/>
      <c r="O14" s="16"/>
    </row>
    <row r="15" spans="1:15" x14ac:dyDescent="0.35">
      <c r="A15" s="11" t="s">
        <v>395</v>
      </c>
      <c r="B15" s="16">
        <v>1</v>
      </c>
      <c r="C15" s="16">
        <v>1</v>
      </c>
      <c r="D15" s="16">
        <v>1</v>
      </c>
      <c r="E15" s="16">
        <v>1</v>
      </c>
      <c r="F15" s="16">
        <v>1</v>
      </c>
      <c r="G15" s="16" t="s">
        <v>502</v>
      </c>
      <c r="H15" s="16"/>
      <c r="I15" s="16"/>
      <c r="J15" s="16"/>
      <c r="K15" s="16"/>
      <c r="L15" s="16"/>
      <c r="M15" s="16"/>
      <c r="N15" s="16"/>
      <c r="O15" s="16"/>
    </row>
    <row r="16" spans="1:15" ht="30" customHeight="1" x14ac:dyDescent="0.4">
      <c r="A16" s="5" t="s">
        <v>226</v>
      </c>
      <c r="B16" s="16"/>
      <c r="C16" s="16"/>
      <c r="D16" s="16"/>
      <c r="E16" s="16"/>
      <c r="F16" s="16"/>
      <c r="G16" s="16"/>
      <c r="H16" s="16"/>
      <c r="I16" s="16"/>
      <c r="J16" s="16"/>
      <c r="K16" s="16"/>
      <c r="L16" s="16"/>
      <c r="M16" s="16"/>
      <c r="N16" s="16"/>
      <c r="O16" s="16"/>
    </row>
    <row r="17" spans="1:15" x14ac:dyDescent="0.35">
      <c r="A17" s="11" t="s">
        <v>386</v>
      </c>
      <c r="B17" s="16" t="s">
        <v>389</v>
      </c>
      <c r="C17" s="16" t="s">
        <v>390</v>
      </c>
      <c r="D17" s="16" t="s">
        <v>391</v>
      </c>
      <c r="E17" s="16" t="s">
        <v>392</v>
      </c>
      <c r="F17" s="16" t="s">
        <v>393</v>
      </c>
      <c r="G17" s="16" t="s">
        <v>394</v>
      </c>
      <c r="H17" s="16"/>
      <c r="I17" s="16"/>
      <c r="J17" s="16"/>
      <c r="K17" s="16"/>
      <c r="L17" s="16"/>
      <c r="M17" s="16"/>
      <c r="N17" s="16"/>
      <c r="O17" s="16"/>
    </row>
    <row r="18" spans="1:15" x14ac:dyDescent="0.35">
      <c r="A18" s="8" t="s">
        <v>558</v>
      </c>
      <c r="B18" s="12">
        <v>45</v>
      </c>
      <c r="C18" s="12">
        <v>43</v>
      </c>
      <c r="D18" s="12">
        <v>50</v>
      </c>
      <c r="E18" s="12">
        <v>45</v>
      </c>
      <c r="F18" s="12">
        <v>45</v>
      </c>
      <c r="G18" s="12" t="s">
        <v>502</v>
      </c>
      <c r="H18" s="12"/>
      <c r="I18" s="12"/>
      <c r="J18" s="12"/>
      <c r="K18" s="12"/>
      <c r="L18" s="12"/>
      <c r="M18" s="12"/>
      <c r="N18" s="12"/>
      <c r="O18" s="12"/>
    </row>
    <row r="19" spans="1:15" x14ac:dyDescent="0.35">
      <c r="A19" s="11" t="s">
        <v>559</v>
      </c>
      <c r="B19" s="13">
        <v>42</v>
      </c>
      <c r="C19" s="13">
        <v>43</v>
      </c>
      <c r="D19" s="13">
        <v>38</v>
      </c>
      <c r="E19" s="13">
        <v>37</v>
      </c>
      <c r="F19" s="13">
        <v>42</v>
      </c>
      <c r="G19" s="13" t="s">
        <v>502</v>
      </c>
      <c r="H19" s="13"/>
      <c r="I19" s="13"/>
      <c r="J19" s="13"/>
      <c r="K19" s="13"/>
      <c r="L19" s="13"/>
      <c r="M19" s="13"/>
      <c r="N19" s="13"/>
      <c r="O19" s="13"/>
    </row>
    <row r="20" spans="1:15" x14ac:dyDescent="0.35">
      <c r="A20" s="11" t="s">
        <v>395</v>
      </c>
      <c r="B20" s="13">
        <v>44</v>
      </c>
      <c r="C20" s="13">
        <v>43</v>
      </c>
      <c r="D20" s="13">
        <v>41</v>
      </c>
      <c r="E20" s="13">
        <v>40</v>
      </c>
      <c r="F20" s="13">
        <v>43</v>
      </c>
      <c r="G20" s="13" t="s">
        <v>502</v>
      </c>
      <c r="H20" s="13"/>
      <c r="I20" s="13"/>
      <c r="J20" s="13"/>
      <c r="K20" s="13"/>
      <c r="L20" s="13"/>
      <c r="M20" s="13"/>
      <c r="N20" s="13"/>
      <c r="O20" s="13"/>
    </row>
    <row r="21" spans="1:15" ht="30" customHeight="1" x14ac:dyDescent="0.4">
      <c r="A21" s="5" t="s">
        <v>227</v>
      </c>
      <c r="B21" s="13"/>
      <c r="C21" s="13"/>
      <c r="D21" s="13"/>
      <c r="E21" s="13"/>
      <c r="F21" s="13"/>
      <c r="G21" s="13"/>
      <c r="H21" s="13"/>
      <c r="I21" s="13"/>
      <c r="J21" s="13"/>
      <c r="K21" s="13"/>
      <c r="L21" s="13"/>
      <c r="M21" s="13"/>
      <c r="N21" s="13"/>
      <c r="O21" s="13"/>
    </row>
    <row r="22" spans="1:15" x14ac:dyDescent="0.35">
      <c r="A22" s="11" t="s">
        <v>386</v>
      </c>
      <c r="B22" s="13" t="s">
        <v>389</v>
      </c>
      <c r="C22" s="13" t="s">
        <v>390</v>
      </c>
      <c r="D22" s="13" t="s">
        <v>391</v>
      </c>
      <c r="E22" s="13" t="s">
        <v>392</v>
      </c>
      <c r="F22" s="13" t="s">
        <v>393</v>
      </c>
      <c r="G22" s="13" t="s">
        <v>394</v>
      </c>
      <c r="H22" s="13"/>
      <c r="I22" s="13"/>
      <c r="J22" s="13"/>
      <c r="K22" s="13"/>
      <c r="L22" s="13"/>
      <c r="M22" s="13"/>
      <c r="N22" s="13"/>
      <c r="O22" s="13"/>
    </row>
    <row r="23" spans="1:15" x14ac:dyDescent="0.35">
      <c r="A23" s="8" t="s">
        <v>558</v>
      </c>
      <c r="B23" s="12">
        <v>645</v>
      </c>
      <c r="C23" s="12">
        <v>626</v>
      </c>
      <c r="D23" s="12">
        <v>562</v>
      </c>
      <c r="E23" s="12">
        <v>574</v>
      </c>
      <c r="F23" s="12">
        <v>538</v>
      </c>
      <c r="G23" s="12" t="s">
        <v>502</v>
      </c>
      <c r="H23" s="12"/>
      <c r="I23" s="12"/>
      <c r="J23" s="12"/>
      <c r="K23" s="12"/>
      <c r="L23" s="12"/>
      <c r="M23" s="12"/>
      <c r="N23" s="12"/>
      <c r="O23" s="12"/>
    </row>
    <row r="24" spans="1:15" x14ac:dyDescent="0.35">
      <c r="A24" s="11" t="s">
        <v>559</v>
      </c>
      <c r="B24" s="13">
        <v>1424</v>
      </c>
      <c r="C24" s="13">
        <v>1264</v>
      </c>
      <c r="D24" s="13">
        <v>1134</v>
      </c>
      <c r="E24" s="13">
        <v>1033</v>
      </c>
      <c r="F24" s="13">
        <v>976</v>
      </c>
      <c r="G24" s="13" t="s">
        <v>502</v>
      </c>
      <c r="H24" s="13"/>
      <c r="I24" s="13"/>
      <c r="J24" s="13"/>
      <c r="K24" s="13"/>
      <c r="L24" s="13"/>
      <c r="M24" s="13"/>
      <c r="N24" s="13"/>
      <c r="O24" s="13"/>
    </row>
    <row r="25" spans="1:15" x14ac:dyDescent="0.35">
      <c r="A25" s="11" t="s">
        <v>395</v>
      </c>
      <c r="B25" s="13">
        <v>2069</v>
      </c>
      <c r="C25" s="13">
        <v>1890</v>
      </c>
      <c r="D25" s="13">
        <v>1696</v>
      </c>
      <c r="E25" s="13">
        <v>1607</v>
      </c>
      <c r="F25" s="13">
        <v>1514</v>
      </c>
      <c r="G25" s="13" t="s">
        <v>502</v>
      </c>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234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233</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490</v>
      </c>
      <c r="B8" s="15">
        <v>6.8000000000000005E-2</v>
      </c>
      <c r="C8" s="15">
        <v>5.5E-2</v>
      </c>
      <c r="D8" s="15">
        <v>3.4000000000000002E-2</v>
      </c>
      <c r="E8" s="15">
        <v>3.7999999999999999E-2</v>
      </c>
      <c r="F8" s="15">
        <v>5.3999999999999999E-2</v>
      </c>
      <c r="G8" s="15">
        <v>4.3999999999999997E-2</v>
      </c>
      <c r="H8" s="15"/>
      <c r="I8" s="15"/>
      <c r="J8" s="15"/>
      <c r="K8" s="15"/>
      <c r="L8" s="15"/>
      <c r="M8" s="15"/>
      <c r="N8" s="15"/>
      <c r="O8" s="15"/>
    </row>
    <row r="9" spans="1:15" x14ac:dyDescent="0.35">
      <c r="A9" s="11" t="s">
        <v>491</v>
      </c>
      <c r="B9" s="16">
        <v>0.06</v>
      </c>
      <c r="C9" s="16">
        <v>3.1E-2</v>
      </c>
      <c r="D9" s="16">
        <v>1.7000000000000001E-2</v>
      </c>
      <c r="E9" s="16">
        <v>2.5000000000000001E-2</v>
      </c>
      <c r="F9" s="16">
        <v>4.1000000000000002E-2</v>
      </c>
      <c r="G9" s="16">
        <v>0.04</v>
      </c>
      <c r="H9" s="16"/>
      <c r="I9" s="16"/>
      <c r="J9" s="16"/>
      <c r="K9" s="16"/>
      <c r="L9" s="16"/>
      <c r="M9" s="16"/>
      <c r="N9" s="16"/>
      <c r="O9" s="16"/>
    </row>
    <row r="10" spans="1:15" x14ac:dyDescent="0.35">
      <c r="A10" s="11" t="s">
        <v>489</v>
      </c>
      <c r="B10" s="16">
        <v>2.7E-2</v>
      </c>
      <c r="C10" s="16">
        <v>0.02</v>
      </c>
      <c r="D10" s="16">
        <v>2.5000000000000001E-2</v>
      </c>
      <c r="E10" s="16">
        <v>1.4999999999999999E-2</v>
      </c>
      <c r="F10" s="16">
        <v>1.9E-2</v>
      </c>
      <c r="G10" s="16">
        <v>1.4E-2</v>
      </c>
      <c r="H10" s="16"/>
      <c r="I10" s="16"/>
      <c r="J10" s="16"/>
      <c r="K10" s="16"/>
      <c r="L10" s="16"/>
      <c r="M10" s="16"/>
      <c r="N10" s="16"/>
      <c r="O10" s="16"/>
    </row>
    <row r="11" spans="1:15" x14ac:dyDescent="0.35">
      <c r="A11" s="11" t="s">
        <v>395</v>
      </c>
      <c r="B11" s="16">
        <v>5.6000000000000001E-2</v>
      </c>
      <c r="C11" s="16">
        <v>0.04</v>
      </c>
      <c r="D11" s="16">
        <v>2.8000000000000001E-2</v>
      </c>
      <c r="E11" s="16">
        <v>2.9000000000000001E-2</v>
      </c>
      <c r="F11" s="16">
        <v>4.1000000000000002E-2</v>
      </c>
      <c r="G11" s="16">
        <v>3.3000000000000002E-2</v>
      </c>
      <c r="H11" s="16"/>
      <c r="I11" s="16"/>
      <c r="J11" s="16"/>
      <c r="K11" s="16"/>
      <c r="L11" s="16"/>
      <c r="M11" s="16"/>
      <c r="N11" s="16"/>
      <c r="O11" s="16"/>
    </row>
    <row r="12" spans="1:15" ht="30" customHeight="1" x14ac:dyDescent="0.4">
      <c r="A12" s="5" t="s">
        <v>230</v>
      </c>
      <c r="B12" s="16"/>
      <c r="C12" s="16"/>
      <c r="D12" s="16"/>
      <c r="E12" s="16"/>
      <c r="F12" s="16"/>
      <c r="G12" s="16"/>
      <c r="H12" s="16"/>
      <c r="I12" s="16"/>
      <c r="J12" s="16"/>
      <c r="K12" s="16"/>
      <c r="L12" s="16"/>
      <c r="M12" s="16"/>
      <c r="N12" s="16"/>
      <c r="O12" s="16"/>
    </row>
    <row r="13" spans="1:15" x14ac:dyDescent="0.35">
      <c r="A13" s="11" t="s">
        <v>386</v>
      </c>
      <c r="B13" s="16" t="s">
        <v>389</v>
      </c>
      <c r="C13" s="16" t="s">
        <v>390</v>
      </c>
      <c r="D13" s="16" t="s">
        <v>391</v>
      </c>
      <c r="E13" s="16" t="s">
        <v>392</v>
      </c>
      <c r="F13" s="16" t="s">
        <v>393</v>
      </c>
      <c r="G13" s="16" t="s">
        <v>394</v>
      </c>
      <c r="H13" s="16"/>
      <c r="I13" s="16"/>
      <c r="J13" s="16"/>
      <c r="K13" s="16"/>
      <c r="L13" s="16"/>
      <c r="M13" s="16"/>
      <c r="N13" s="16"/>
      <c r="O13" s="16"/>
    </row>
    <row r="14" spans="1:15" x14ac:dyDescent="0.35">
      <c r="A14" s="8" t="s">
        <v>490</v>
      </c>
      <c r="B14" s="15">
        <v>0.56999999999999995</v>
      </c>
      <c r="C14" s="15">
        <v>0.69</v>
      </c>
      <c r="D14" s="15">
        <v>0.62</v>
      </c>
      <c r="E14" s="15">
        <v>0.67</v>
      </c>
      <c r="F14" s="15">
        <v>0.69</v>
      </c>
      <c r="G14" s="15">
        <v>0.7</v>
      </c>
      <c r="H14" s="15"/>
      <c r="I14" s="15"/>
      <c r="J14" s="15"/>
      <c r="K14" s="15"/>
      <c r="L14" s="15"/>
      <c r="M14" s="15"/>
      <c r="N14" s="15"/>
      <c r="O14" s="15"/>
    </row>
    <row r="15" spans="1:15" x14ac:dyDescent="0.35">
      <c r="A15" s="11" t="s">
        <v>491</v>
      </c>
      <c r="B15" s="16">
        <v>0.32</v>
      </c>
      <c r="C15" s="16">
        <v>0.18</v>
      </c>
      <c r="D15" s="16">
        <v>0.13</v>
      </c>
      <c r="E15" s="16">
        <v>0.16</v>
      </c>
      <c r="F15" s="16">
        <v>0.15</v>
      </c>
      <c r="G15" s="16">
        <v>0.16</v>
      </c>
      <c r="H15" s="16"/>
      <c r="I15" s="16"/>
      <c r="J15" s="16"/>
      <c r="K15" s="16"/>
      <c r="L15" s="16"/>
      <c r="M15" s="16"/>
      <c r="N15" s="16"/>
      <c r="O15" s="16"/>
    </row>
    <row r="16" spans="1:15" x14ac:dyDescent="0.35">
      <c r="A16" s="11" t="s">
        <v>489</v>
      </c>
      <c r="B16" s="16">
        <v>0.11</v>
      </c>
      <c r="C16" s="16">
        <v>0.12</v>
      </c>
      <c r="D16" s="16">
        <v>0.25</v>
      </c>
      <c r="E16" s="16">
        <v>0.17</v>
      </c>
      <c r="F16" s="16">
        <v>0.16</v>
      </c>
      <c r="G16" s="16">
        <v>0.14000000000000001</v>
      </c>
      <c r="H16" s="16"/>
      <c r="I16" s="16"/>
      <c r="J16" s="16"/>
      <c r="K16" s="16"/>
      <c r="L16" s="16"/>
      <c r="M16" s="16"/>
      <c r="N16" s="16"/>
      <c r="O16" s="16"/>
    </row>
    <row r="17" spans="1:15" x14ac:dyDescent="0.35">
      <c r="A17" s="11" t="s">
        <v>395</v>
      </c>
      <c r="B17" s="16">
        <v>1</v>
      </c>
      <c r="C17" s="16">
        <v>1</v>
      </c>
      <c r="D17" s="16">
        <v>1</v>
      </c>
      <c r="E17" s="16">
        <v>1</v>
      </c>
      <c r="F17" s="16">
        <v>1</v>
      </c>
      <c r="G17" s="16">
        <v>1</v>
      </c>
      <c r="H17" s="16"/>
      <c r="I17" s="16"/>
      <c r="J17" s="16"/>
      <c r="K17" s="16"/>
      <c r="L17" s="16"/>
      <c r="M17" s="16"/>
      <c r="N17" s="16"/>
      <c r="O17" s="16"/>
    </row>
    <row r="18" spans="1:15" ht="30" customHeight="1" x14ac:dyDescent="0.4">
      <c r="A18" s="5" t="s">
        <v>231</v>
      </c>
      <c r="B18" s="16"/>
      <c r="C18" s="16"/>
      <c r="D18" s="16"/>
      <c r="E18" s="16"/>
      <c r="F18" s="16"/>
      <c r="G18" s="16"/>
      <c r="H18" s="16"/>
      <c r="I18" s="16"/>
      <c r="J18" s="16"/>
      <c r="K18" s="16"/>
      <c r="L18" s="16"/>
      <c r="M18" s="16"/>
      <c r="N18" s="16"/>
      <c r="O18" s="16"/>
    </row>
    <row r="19" spans="1:15" x14ac:dyDescent="0.35">
      <c r="A19" s="11" t="s">
        <v>386</v>
      </c>
      <c r="B19" s="16" t="s">
        <v>389</v>
      </c>
      <c r="C19" s="16" t="s">
        <v>390</v>
      </c>
      <c r="D19" s="16" t="s">
        <v>391</v>
      </c>
      <c r="E19" s="16" t="s">
        <v>392</v>
      </c>
      <c r="F19" s="16" t="s">
        <v>393</v>
      </c>
      <c r="G19" s="16" t="s">
        <v>394</v>
      </c>
      <c r="H19" s="16"/>
      <c r="I19" s="16"/>
      <c r="J19" s="16"/>
      <c r="K19" s="16"/>
      <c r="L19" s="16"/>
      <c r="M19" s="16"/>
      <c r="N19" s="16"/>
      <c r="O19" s="16"/>
    </row>
    <row r="20" spans="1:15" x14ac:dyDescent="0.35">
      <c r="A20" s="8" t="s">
        <v>490</v>
      </c>
      <c r="B20" s="12">
        <v>44</v>
      </c>
      <c r="C20" s="12">
        <v>44</v>
      </c>
      <c r="D20" s="12">
        <v>37</v>
      </c>
      <c r="E20" s="12">
        <v>37</v>
      </c>
      <c r="F20" s="12">
        <v>40</v>
      </c>
      <c r="G20" s="12">
        <v>32</v>
      </c>
      <c r="H20" s="12"/>
      <c r="I20" s="12"/>
      <c r="J20" s="12"/>
      <c r="K20" s="12"/>
      <c r="L20" s="12"/>
      <c r="M20" s="12"/>
      <c r="N20" s="12"/>
      <c r="O20" s="12"/>
    </row>
    <row r="21" spans="1:15" x14ac:dyDescent="0.35">
      <c r="A21" s="11" t="s">
        <v>491</v>
      </c>
      <c r="B21" s="13">
        <v>41</v>
      </c>
      <c r="C21" s="13">
        <v>37</v>
      </c>
      <c r="D21" s="13">
        <v>41</v>
      </c>
      <c r="E21" s="13">
        <v>46</v>
      </c>
      <c r="F21" s="13">
        <v>52</v>
      </c>
      <c r="G21" s="13">
        <v>50</v>
      </c>
      <c r="H21" s="13"/>
      <c r="I21" s="13"/>
      <c r="J21" s="13"/>
      <c r="K21" s="13"/>
      <c r="L21" s="13"/>
      <c r="M21" s="13"/>
      <c r="N21" s="13"/>
      <c r="O21" s="13"/>
    </row>
    <row r="22" spans="1:15" x14ac:dyDescent="0.35">
      <c r="A22" s="11" t="s">
        <v>489</v>
      </c>
      <c r="B22" s="13">
        <v>40</v>
      </c>
      <c r="C22" s="13">
        <v>39</v>
      </c>
      <c r="D22" s="13">
        <v>50</v>
      </c>
      <c r="E22" s="13">
        <v>45</v>
      </c>
      <c r="F22" s="13">
        <v>44</v>
      </c>
      <c r="G22" s="13">
        <v>47</v>
      </c>
      <c r="H22" s="13"/>
      <c r="I22" s="13"/>
      <c r="J22" s="13"/>
      <c r="K22" s="13"/>
      <c r="L22" s="13"/>
      <c r="M22" s="13"/>
      <c r="N22" s="13"/>
      <c r="O22" s="13"/>
    </row>
    <row r="23" spans="1:15" x14ac:dyDescent="0.35">
      <c r="A23" s="11" t="s">
        <v>395</v>
      </c>
      <c r="B23" s="13">
        <v>44</v>
      </c>
      <c r="C23" s="13">
        <v>43</v>
      </c>
      <c r="D23" s="13">
        <v>41</v>
      </c>
      <c r="E23" s="13">
        <v>40</v>
      </c>
      <c r="F23" s="13">
        <v>43</v>
      </c>
      <c r="G23" s="13">
        <v>37</v>
      </c>
      <c r="H23" s="13"/>
      <c r="I23" s="13"/>
      <c r="J23" s="13"/>
      <c r="K23" s="13"/>
      <c r="L23" s="13"/>
      <c r="M23" s="13"/>
      <c r="N23" s="13"/>
      <c r="O23" s="13"/>
    </row>
    <row r="24" spans="1:15" ht="30" customHeight="1" x14ac:dyDescent="0.4">
      <c r="A24" s="5" t="s">
        <v>232</v>
      </c>
      <c r="B24" s="13"/>
      <c r="C24" s="13"/>
      <c r="D24" s="13"/>
      <c r="E24" s="13"/>
      <c r="F24" s="13"/>
      <c r="G24" s="13"/>
      <c r="H24" s="13"/>
      <c r="I24" s="13"/>
      <c r="J24" s="13"/>
      <c r="K24" s="13"/>
      <c r="L24" s="13"/>
      <c r="M24" s="13"/>
      <c r="N24" s="13"/>
      <c r="O24" s="13"/>
    </row>
    <row r="25" spans="1:15" x14ac:dyDescent="0.35">
      <c r="A25" s="11" t="s">
        <v>386</v>
      </c>
      <c r="B25" s="13" t="s">
        <v>389</v>
      </c>
      <c r="C25" s="13" t="s">
        <v>390</v>
      </c>
      <c r="D25" s="13" t="s">
        <v>391</v>
      </c>
      <c r="E25" s="13" t="s">
        <v>392</v>
      </c>
      <c r="F25" s="13" t="s">
        <v>393</v>
      </c>
      <c r="G25" s="13" t="s">
        <v>394</v>
      </c>
      <c r="H25" s="13"/>
      <c r="I25" s="13"/>
      <c r="J25" s="13"/>
      <c r="K25" s="13"/>
      <c r="L25" s="13"/>
      <c r="M25" s="13"/>
      <c r="N25" s="13"/>
      <c r="O25" s="13"/>
    </row>
    <row r="26" spans="1:15" x14ac:dyDescent="0.35">
      <c r="A26" s="8" t="s">
        <v>490</v>
      </c>
      <c r="B26" s="12">
        <v>1001</v>
      </c>
      <c r="C26" s="12">
        <v>951</v>
      </c>
      <c r="D26" s="12">
        <v>827</v>
      </c>
      <c r="E26" s="12">
        <v>811</v>
      </c>
      <c r="F26" s="12">
        <v>775</v>
      </c>
      <c r="G26" s="12">
        <v>603</v>
      </c>
      <c r="H26" s="12"/>
      <c r="I26" s="12"/>
      <c r="J26" s="12"/>
      <c r="K26" s="12"/>
      <c r="L26" s="12"/>
      <c r="M26" s="12"/>
      <c r="N26" s="12"/>
      <c r="O26" s="12"/>
    </row>
    <row r="27" spans="1:15" x14ac:dyDescent="0.35">
      <c r="A27" s="11" t="s">
        <v>491</v>
      </c>
      <c r="B27" s="13">
        <v>594</v>
      </c>
      <c r="C27" s="13">
        <v>449</v>
      </c>
      <c r="D27" s="13">
        <v>385</v>
      </c>
      <c r="E27" s="13">
        <v>308</v>
      </c>
      <c r="F27" s="13">
        <v>220</v>
      </c>
      <c r="G27" s="13">
        <v>140</v>
      </c>
      <c r="H27" s="13"/>
      <c r="I27" s="13"/>
      <c r="J27" s="13"/>
      <c r="K27" s="13"/>
      <c r="L27" s="13"/>
      <c r="M27" s="13"/>
      <c r="N27" s="13"/>
      <c r="O27" s="13"/>
    </row>
    <row r="28" spans="1:15" x14ac:dyDescent="0.35">
      <c r="A28" s="11" t="s">
        <v>489</v>
      </c>
      <c r="B28" s="13">
        <v>471</v>
      </c>
      <c r="C28" s="13">
        <v>489</v>
      </c>
      <c r="D28" s="13">
        <v>484</v>
      </c>
      <c r="E28" s="13">
        <v>488</v>
      </c>
      <c r="F28" s="13">
        <v>519</v>
      </c>
      <c r="G28" s="13">
        <v>484</v>
      </c>
      <c r="H28" s="13"/>
      <c r="I28" s="13"/>
      <c r="J28" s="13"/>
      <c r="K28" s="13"/>
      <c r="L28" s="13"/>
      <c r="M28" s="13"/>
      <c r="N28" s="13"/>
      <c r="O28" s="13"/>
    </row>
    <row r="29" spans="1:15" x14ac:dyDescent="0.35">
      <c r="A29" s="11" t="s">
        <v>395</v>
      </c>
      <c r="B29" s="13">
        <v>2066</v>
      </c>
      <c r="C29" s="13">
        <v>1889</v>
      </c>
      <c r="D29" s="13">
        <v>1696</v>
      </c>
      <c r="E29" s="13">
        <v>1607</v>
      </c>
      <c r="F29" s="13">
        <v>1514</v>
      </c>
      <c r="G29" s="13">
        <v>1227</v>
      </c>
      <c r="H29" s="13"/>
      <c r="I29" s="13"/>
      <c r="J29" s="13"/>
      <c r="K29" s="13"/>
      <c r="L29" s="13"/>
      <c r="M29" s="13"/>
      <c r="N29" s="13"/>
      <c r="O29" s="13"/>
    </row>
    <row r="30" spans="1:15" x14ac:dyDescent="0.35">
      <c r="A30" s="11"/>
      <c r="B30" s="13"/>
      <c r="C30" s="13"/>
      <c r="D30" s="13"/>
      <c r="E30" s="13"/>
      <c r="F30" s="13"/>
      <c r="G30" s="13"/>
      <c r="H30" s="13"/>
      <c r="I30" s="13"/>
      <c r="J30" s="13"/>
      <c r="K30" s="13"/>
      <c r="L30" s="13"/>
      <c r="M30" s="13"/>
      <c r="N30" s="13"/>
      <c r="O30" s="13"/>
    </row>
    <row r="31" spans="1:15" x14ac:dyDescent="0.35">
      <c r="A31" s="11"/>
      <c r="B31" s="13"/>
      <c r="C31" s="13"/>
      <c r="D31" s="13"/>
      <c r="E31" s="13"/>
      <c r="F31" s="13"/>
      <c r="G31" s="13"/>
      <c r="H31" s="13"/>
      <c r="I31" s="13"/>
      <c r="J31" s="13"/>
      <c r="K31" s="13"/>
      <c r="L31" s="13"/>
      <c r="M31" s="13"/>
      <c r="N31" s="13"/>
      <c r="O31" s="13"/>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239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238</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560</v>
      </c>
      <c r="B8" s="15">
        <v>7.2999999999999995E-2</v>
      </c>
      <c r="C8" s="15">
        <v>5.8999999999999997E-2</v>
      </c>
      <c r="D8" s="15">
        <v>2.8000000000000001E-2</v>
      </c>
      <c r="E8" s="15">
        <v>3.4000000000000002E-2</v>
      </c>
      <c r="F8" s="15">
        <v>4.2999999999999997E-2</v>
      </c>
      <c r="G8" s="15">
        <v>6.2E-2</v>
      </c>
      <c r="H8" s="15"/>
      <c r="I8" s="15"/>
      <c r="J8" s="15"/>
      <c r="K8" s="15"/>
      <c r="L8" s="15"/>
      <c r="M8" s="15"/>
      <c r="N8" s="15"/>
      <c r="O8" s="15"/>
    </row>
    <row r="9" spans="1:15" x14ac:dyDescent="0.35">
      <c r="A9" s="11" t="s">
        <v>561</v>
      </c>
      <c r="B9" s="16">
        <v>4.4999999999999998E-2</v>
      </c>
      <c r="C9" s="16">
        <v>2.7E-2</v>
      </c>
      <c r="D9" s="16">
        <v>2.8000000000000001E-2</v>
      </c>
      <c r="E9" s="16">
        <v>2.5000000000000001E-2</v>
      </c>
      <c r="F9" s="16">
        <v>3.9E-2</v>
      </c>
      <c r="G9" s="16">
        <v>1.0999999999999999E-2</v>
      </c>
      <c r="H9" s="16"/>
      <c r="I9" s="16"/>
      <c r="J9" s="16"/>
      <c r="K9" s="16"/>
      <c r="L9" s="16"/>
      <c r="M9" s="16"/>
      <c r="N9" s="16"/>
      <c r="O9" s="16"/>
    </row>
    <row r="10" spans="1:15" x14ac:dyDescent="0.35">
      <c r="A10" s="11" t="s">
        <v>395</v>
      </c>
      <c r="B10" s="16">
        <v>5.6000000000000001E-2</v>
      </c>
      <c r="C10" s="16">
        <v>0.04</v>
      </c>
      <c r="D10" s="16">
        <v>2.8000000000000001E-2</v>
      </c>
      <c r="E10" s="16">
        <v>2.9000000000000001E-2</v>
      </c>
      <c r="F10" s="16">
        <v>4.1000000000000002E-2</v>
      </c>
      <c r="G10" s="16">
        <v>3.3000000000000002E-2</v>
      </c>
      <c r="H10" s="16"/>
      <c r="I10" s="16"/>
      <c r="J10" s="16"/>
      <c r="K10" s="16"/>
      <c r="L10" s="16"/>
      <c r="M10" s="16"/>
      <c r="N10" s="16"/>
      <c r="O10" s="16"/>
    </row>
    <row r="11" spans="1:15" ht="30" customHeight="1" x14ac:dyDescent="0.4">
      <c r="A11" s="5" t="s">
        <v>235</v>
      </c>
      <c r="B11" s="16"/>
      <c r="C11" s="16"/>
      <c r="D11" s="16"/>
      <c r="E11" s="16"/>
      <c r="F11" s="16"/>
      <c r="G11" s="16"/>
      <c r="H11" s="16"/>
      <c r="I11" s="16"/>
      <c r="J11" s="16"/>
      <c r="K11" s="16"/>
      <c r="L11" s="16"/>
      <c r="M11" s="16"/>
      <c r="N11" s="16"/>
      <c r="O11" s="16"/>
    </row>
    <row r="12" spans="1:15" x14ac:dyDescent="0.35">
      <c r="A12" s="11" t="s">
        <v>386</v>
      </c>
      <c r="B12" s="16" t="s">
        <v>389</v>
      </c>
      <c r="C12" s="16" t="s">
        <v>390</v>
      </c>
      <c r="D12" s="16" t="s">
        <v>391</v>
      </c>
      <c r="E12" s="16" t="s">
        <v>392</v>
      </c>
      <c r="F12" s="16" t="s">
        <v>393</v>
      </c>
      <c r="G12" s="16" t="s">
        <v>394</v>
      </c>
      <c r="H12" s="16"/>
      <c r="I12" s="16"/>
      <c r="J12" s="16"/>
      <c r="K12" s="16"/>
      <c r="L12" s="16"/>
      <c r="M12" s="16"/>
      <c r="N12" s="16"/>
      <c r="O12" s="16"/>
    </row>
    <row r="13" spans="1:15" x14ac:dyDescent="0.35">
      <c r="A13" s="8" t="s">
        <v>560</v>
      </c>
      <c r="B13" s="15">
        <v>0.52</v>
      </c>
      <c r="C13" s="15">
        <v>0.61</v>
      </c>
      <c r="D13" s="15">
        <v>0.43</v>
      </c>
      <c r="E13" s="15">
        <v>0.5</v>
      </c>
      <c r="F13" s="15">
        <v>0.43</v>
      </c>
      <c r="G13" s="15">
        <v>0.8</v>
      </c>
      <c r="H13" s="15"/>
      <c r="I13" s="15"/>
      <c r="J13" s="15"/>
      <c r="K13" s="15"/>
      <c r="L13" s="15"/>
      <c r="M13" s="15"/>
      <c r="N13" s="15"/>
      <c r="O13" s="15"/>
    </row>
    <row r="14" spans="1:15" x14ac:dyDescent="0.35">
      <c r="A14" s="11" t="s">
        <v>561</v>
      </c>
      <c r="B14" s="16">
        <v>0.48</v>
      </c>
      <c r="C14" s="16">
        <v>0.39</v>
      </c>
      <c r="D14" s="16">
        <v>0.56999999999999995</v>
      </c>
      <c r="E14" s="16">
        <v>0.5</v>
      </c>
      <c r="F14" s="16">
        <v>0.56999999999999995</v>
      </c>
      <c r="G14" s="16">
        <v>0.2</v>
      </c>
      <c r="H14" s="16"/>
      <c r="I14" s="16"/>
      <c r="J14" s="16"/>
      <c r="K14" s="16"/>
      <c r="L14" s="16"/>
      <c r="M14" s="16"/>
      <c r="N14" s="16"/>
      <c r="O14" s="16"/>
    </row>
    <row r="15" spans="1:15" x14ac:dyDescent="0.35">
      <c r="A15" s="11" t="s">
        <v>395</v>
      </c>
      <c r="B15" s="16">
        <v>1</v>
      </c>
      <c r="C15" s="16">
        <v>1</v>
      </c>
      <c r="D15" s="16">
        <v>1</v>
      </c>
      <c r="E15" s="16">
        <v>1</v>
      </c>
      <c r="F15" s="16">
        <v>1</v>
      </c>
      <c r="G15" s="16">
        <v>1</v>
      </c>
      <c r="H15" s="16"/>
      <c r="I15" s="16"/>
      <c r="J15" s="16"/>
      <c r="K15" s="16"/>
      <c r="L15" s="16"/>
      <c r="M15" s="16"/>
      <c r="N15" s="16"/>
      <c r="O15" s="16"/>
    </row>
    <row r="16" spans="1:15" ht="30" customHeight="1" x14ac:dyDescent="0.4">
      <c r="A16" s="5" t="s">
        <v>236</v>
      </c>
      <c r="B16" s="16"/>
      <c r="C16" s="16"/>
      <c r="D16" s="16"/>
      <c r="E16" s="16"/>
      <c r="F16" s="16"/>
      <c r="G16" s="16"/>
      <c r="H16" s="16"/>
      <c r="I16" s="16"/>
      <c r="J16" s="16"/>
      <c r="K16" s="16"/>
      <c r="L16" s="16"/>
      <c r="M16" s="16"/>
      <c r="N16" s="16"/>
      <c r="O16" s="16"/>
    </row>
    <row r="17" spans="1:15" x14ac:dyDescent="0.35">
      <c r="A17" s="11" t="s">
        <v>386</v>
      </c>
      <c r="B17" s="16" t="s">
        <v>389</v>
      </c>
      <c r="C17" s="16" t="s">
        <v>390</v>
      </c>
      <c r="D17" s="16" t="s">
        <v>391</v>
      </c>
      <c r="E17" s="16" t="s">
        <v>392</v>
      </c>
      <c r="F17" s="16" t="s">
        <v>393</v>
      </c>
      <c r="G17" s="16" t="s">
        <v>394</v>
      </c>
      <c r="H17" s="16"/>
      <c r="I17" s="16"/>
      <c r="J17" s="16"/>
      <c r="K17" s="16"/>
      <c r="L17" s="16"/>
      <c r="M17" s="16"/>
      <c r="N17" s="16"/>
      <c r="O17" s="16"/>
    </row>
    <row r="18" spans="1:15" x14ac:dyDescent="0.35">
      <c r="A18" s="8" t="s">
        <v>560</v>
      </c>
      <c r="B18" s="12">
        <v>41</v>
      </c>
      <c r="C18" s="12">
        <v>44</v>
      </c>
      <c r="D18" s="12">
        <v>44</v>
      </c>
      <c r="E18" s="12">
        <v>45</v>
      </c>
      <c r="F18" s="12">
        <v>44</v>
      </c>
      <c r="G18" s="12">
        <v>33</v>
      </c>
      <c r="H18" s="12"/>
      <c r="I18" s="12"/>
      <c r="J18" s="12"/>
      <c r="K18" s="12"/>
      <c r="L18" s="12"/>
      <c r="M18" s="12"/>
      <c r="N18" s="12"/>
      <c r="O18" s="12"/>
    </row>
    <row r="19" spans="1:15" x14ac:dyDescent="0.35">
      <c r="A19" s="11" t="s">
        <v>561</v>
      </c>
      <c r="B19" s="13">
        <v>44</v>
      </c>
      <c r="C19" s="13">
        <v>41</v>
      </c>
      <c r="D19" s="13">
        <v>41</v>
      </c>
      <c r="E19" s="13">
        <v>39</v>
      </c>
      <c r="F19" s="13">
        <v>41</v>
      </c>
      <c r="G19" s="13">
        <v>47</v>
      </c>
      <c r="H19" s="13"/>
      <c r="I19" s="13"/>
      <c r="J19" s="13"/>
      <c r="K19" s="13"/>
      <c r="L19" s="13"/>
      <c r="M19" s="13"/>
      <c r="N19" s="13"/>
      <c r="O19" s="13"/>
    </row>
    <row r="20" spans="1:15" x14ac:dyDescent="0.35">
      <c r="A20" s="11" t="s">
        <v>395</v>
      </c>
      <c r="B20" s="13">
        <v>44</v>
      </c>
      <c r="C20" s="13">
        <v>43</v>
      </c>
      <c r="D20" s="13">
        <v>41</v>
      </c>
      <c r="E20" s="13">
        <v>40</v>
      </c>
      <c r="F20" s="13">
        <v>43</v>
      </c>
      <c r="G20" s="13">
        <v>37</v>
      </c>
      <c r="H20" s="13"/>
      <c r="I20" s="13"/>
      <c r="J20" s="13"/>
      <c r="K20" s="13"/>
      <c r="L20" s="13"/>
      <c r="M20" s="13"/>
      <c r="N20" s="13"/>
      <c r="O20" s="13"/>
    </row>
    <row r="21" spans="1:15" ht="30" customHeight="1" x14ac:dyDescent="0.4">
      <c r="A21" s="5" t="s">
        <v>237</v>
      </c>
      <c r="B21" s="13"/>
      <c r="C21" s="13"/>
      <c r="D21" s="13"/>
      <c r="E21" s="13"/>
      <c r="F21" s="13"/>
      <c r="G21" s="13"/>
      <c r="H21" s="13"/>
      <c r="I21" s="13"/>
      <c r="J21" s="13"/>
      <c r="K21" s="13"/>
      <c r="L21" s="13"/>
      <c r="M21" s="13"/>
      <c r="N21" s="13"/>
      <c r="O21" s="13"/>
    </row>
    <row r="22" spans="1:15" x14ac:dyDescent="0.35">
      <c r="A22" s="11" t="s">
        <v>386</v>
      </c>
      <c r="B22" s="13" t="s">
        <v>389</v>
      </c>
      <c r="C22" s="13" t="s">
        <v>390</v>
      </c>
      <c r="D22" s="13" t="s">
        <v>391</v>
      </c>
      <c r="E22" s="13" t="s">
        <v>392</v>
      </c>
      <c r="F22" s="13" t="s">
        <v>393</v>
      </c>
      <c r="G22" s="13" t="s">
        <v>394</v>
      </c>
      <c r="H22" s="13"/>
      <c r="I22" s="13"/>
      <c r="J22" s="13"/>
      <c r="K22" s="13"/>
      <c r="L22" s="13"/>
      <c r="M22" s="13"/>
      <c r="N22" s="13"/>
      <c r="O22" s="13"/>
    </row>
    <row r="23" spans="1:15" x14ac:dyDescent="0.35">
      <c r="A23" s="8" t="s">
        <v>560</v>
      </c>
      <c r="B23" s="12">
        <v>814</v>
      </c>
      <c r="C23" s="12">
        <v>781</v>
      </c>
      <c r="D23" s="12">
        <v>702</v>
      </c>
      <c r="E23" s="12">
        <v>672</v>
      </c>
      <c r="F23" s="12">
        <v>609</v>
      </c>
      <c r="G23" s="12">
        <v>492</v>
      </c>
      <c r="H23" s="12"/>
      <c r="I23" s="12"/>
      <c r="J23" s="12"/>
      <c r="K23" s="12"/>
      <c r="L23" s="12"/>
      <c r="M23" s="12"/>
      <c r="N23" s="12"/>
      <c r="O23" s="12"/>
    </row>
    <row r="24" spans="1:15" x14ac:dyDescent="0.35">
      <c r="A24" s="11" t="s">
        <v>561</v>
      </c>
      <c r="B24" s="13">
        <v>1255</v>
      </c>
      <c r="C24" s="13">
        <v>1109</v>
      </c>
      <c r="D24" s="13">
        <v>994</v>
      </c>
      <c r="E24" s="13">
        <v>935</v>
      </c>
      <c r="F24" s="13">
        <v>905</v>
      </c>
      <c r="G24" s="13">
        <v>737</v>
      </c>
      <c r="H24" s="13"/>
      <c r="I24" s="13"/>
      <c r="J24" s="13"/>
      <c r="K24" s="13"/>
      <c r="L24" s="13"/>
      <c r="M24" s="13"/>
      <c r="N24" s="13"/>
      <c r="O24" s="13"/>
    </row>
    <row r="25" spans="1:15" x14ac:dyDescent="0.35">
      <c r="A25" s="11" t="s">
        <v>395</v>
      </c>
      <c r="B25" s="13">
        <v>2069</v>
      </c>
      <c r="C25" s="13">
        <v>1890</v>
      </c>
      <c r="D25" s="13">
        <v>1696</v>
      </c>
      <c r="E25" s="13">
        <v>1607</v>
      </c>
      <c r="F25" s="13">
        <v>1514</v>
      </c>
      <c r="G25" s="13">
        <v>1229</v>
      </c>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244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566</v>
      </c>
      <c r="B3" s="9"/>
      <c r="C3" s="9"/>
      <c r="D3" s="9"/>
      <c r="E3" s="9"/>
      <c r="F3" s="9"/>
      <c r="G3" s="9"/>
      <c r="H3" s="9"/>
      <c r="I3" s="9"/>
      <c r="J3" s="9"/>
      <c r="K3" s="9"/>
      <c r="L3" s="9"/>
      <c r="M3" s="9"/>
      <c r="N3" s="9"/>
      <c r="O3" s="9"/>
    </row>
    <row r="4" spans="1:15" x14ac:dyDescent="0.35">
      <c r="A4" s="8" t="s">
        <v>565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243</v>
      </c>
      <c r="B6" s="9"/>
      <c r="C6" s="9"/>
      <c r="D6" s="9"/>
      <c r="E6" s="9"/>
      <c r="F6" s="9"/>
      <c r="G6" s="9"/>
      <c r="H6" s="9"/>
      <c r="I6" s="9"/>
      <c r="J6" s="9"/>
      <c r="K6" s="9"/>
      <c r="L6" s="9"/>
      <c r="M6" s="9"/>
      <c r="N6" s="9"/>
      <c r="O6" s="9"/>
    </row>
    <row r="7" spans="1:15" x14ac:dyDescent="0.35">
      <c r="A7" s="11" t="s">
        <v>386</v>
      </c>
      <c r="B7" s="9" t="s">
        <v>389</v>
      </c>
      <c r="C7" s="9" t="s">
        <v>390</v>
      </c>
      <c r="D7" s="9" t="s">
        <v>391</v>
      </c>
      <c r="E7" s="9" t="s">
        <v>392</v>
      </c>
      <c r="F7" s="9" t="s">
        <v>393</v>
      </c>
      <c r="G7" s="9" t="s">
        <v>394</v>
      </c>
      <c r="H7" s="9"/>
      <c r="I7" s="9"/>
      <c r="J7" s="9"/>
      <c r="K7" s="9"/>
      <c r="L7" s="9"/>
      <c r="M7" s="9"/>
      <c r="N7" s="9"/>
      <c r="O7" s="9"/>
    </row>
    <row r="8" spans="1:15" x14ac:dyDescent="0.35">
      <c r="A8" s="8" t="s">
        <v>534</v>
      </c>
      <c r="B8" s="15">
        <v>6.3E-2</v>
      </c>
      <c r="C8" s="15">
        <v>6.0000000000000001E-3</v>
      </c>
      <c r="D8" s="15">
        <v>0.03</v>
      </c>
      <c r="E8" s="15">
        <v>3.0000000000000001E-3</v>
      </c>
      <c r="F8" s="15">
        <v>3.6999999999999998E-2</v>
      </c>
      <c r="G8" s="15">
        <v>3.0000000000000001E-3</v>
      </c>
      <c r="H8" s="15"/>
      <c r="I8" s="15"/>
      <c r="J8" s="15"/>
      <c r="K8" s="15"/>
      <c r="L8" s="15"/>
      <c r="M8" s="15"/>
      <c r="N8" s="15"/>
      <c r="O8" s="15"/>
    </row>
    <row r="9" spans="1:15" x14ac:dyDescent="0.35">
      <c r="A9" s="11" t="s">
        <v>535</v>
      </c>
      <c r="B9" s="16">
        <v>5.5E-2</v>
      </c>
      <c r="C9" s="16">
        <v>4.7E-2</v>
      </c>
      <c r="D9" s="16">
        <v>2.8000000000000001E-2</v>
      </c>
      <c r="E9" s="16">
        <v>3.4000000000000002E-2</v>
      </c>
      <c r="F9" s="16">
        <v>4.2000000000000003E-2</v>
      </c>
      <c r="G9" s="16">
        <v>3.9E-2</v>
      </c>
      <c r="H9" s="16"/>
      <c r="I9" s="16"/>
      <c r="J9" s="16"/>
      <c r="K9" s="16"/>
      <c r="L9" s="16"/>
      <c r="M9" s="16"/>
      <c r="N9" s="16"/>
      <c r="O9" s="16"/>
    </row>
    <row r="10" spans="1:15" x14ac:dyDescent="0.35">
      <c r="A10" s="11" t="s">
        <v>395</v>
      </c>
      <c r="B10" s="16">
        <v>5.6000000000000001E-2</v>
      </c>
      <c r="C10" s="16">
        <v>0.04</v>
      </c>
      <c r="D10" s="16">
        <v>2.8000000000000001E-2</v>
      </c>
      <c r="E10" s="16">
        <v>2.9000000000000001E-2</v>
      </c>
      <c r="F10" s="16">
        <v>4.1000000000000002E-2</v>
      </c>
      <c r="G10" s="16">
        <v>3.3000000000000002E-2</v>
      </c>
      <c r="H10" s="16"/>
      <c r="I10" s="16"/>
      <c r="J10" s="16"/>
      <c r="K10" s="16"/>
      <c r="L10" s="16"/>
      <c r="M10" s="16"/>
      <c r="N10" s="16"/>
      <c r="O10" s="16"/>
    </row>
    <row r="11" spans="1:15" ht="30" customHeight="1" x14ac:dyDescent="0.4">
      <c r="A11" s="5" t="s">
        <v>240</v>
      </c>
      <c r="B11" s="16"/>
      <c r="C11" s="16"/>
      <c r="D11" s="16"/>
      <c r="E11" s="16"/>
      <c r="F11" s="16"/>
      <c r="G11" s="16"/>
      <c r="H11" s="16"/>
      <c r="I11" s="16"/>
      <c r="J11" s="16"/>
      <c r="K11" s="16"/>
      <c r="L11" s="16"/>
      <c r="M11" s="16"/>
      <c r="N11" s="16"/>
      <c r="O11" s="16"/>
    </row>
    <row r="12" spans="1:15" x14ac:dyDescent="0.35">
      <c r="A12" s="11" t="s">
        <v>386</v>
      </c>
      <c r="B12" s="16" t="s">
        <v>389</v>
      </c>
      <c r="C12" s="16" t="s">
        <v>390</v>
      </c>
      <c r="D12" s="16" t="s">
        <v>391</v>
      </c>
      <c r="E12" s="16" t="s">
        <v>392</v>
      </c>
      <c r="F12" s="16" t="s">
        <v>393</v>
      </c>
      <c r="G12" s="16" t="s">
        <v>394</v>
      </c>
      <c r="H12" s="16"/>
      <c r="I12" s="16"/>
      <c r="J12" s="16"/>
      <c r="K12" s="16"/>
      <c r="L12" s="16"/>
      <c r="M12" s="16"/>
      <c r="N12" s="16"/>
      <c r="O12" s="16"/>
    </row>
    <row r="13" spans="1:15" x14ac:dyDescent="0.35">
      <c r="A13" s="8" t="s">
        <v>534</v>
      </c>
      <c r="B13" s="15">
        <v>0.15</v>
      </c>
      <c r="C13" s="15">
        <v>0.03</v>
      </c>
      <c r="D13" s="15">
        <v>0.15</v>
      </c>
      <c r="E13" s="15">
        <v>0.02</v>
      </c>
      <c r="F13" s="15">
        <v>0.16</v>
      </c>
      <c r="G13" s="15">
        <v>0.02</v>
      </c>
      <c r="H13" s="15"/>
      <c r="I13" s="15"/>
      <c r="J13" s="15"/>
      <c r="K13" s="15"/>
      <c r="L13" s="15"/>
      <c r="M13" s="15"/>
      <c r="N13" s="15"/>
      <c r="O13" s="15"/>
    </row>
    <row r="14" spans="1:15" x14ac:dyDescent="0.35">
      <c r="A14" s="11" t="s">
        <v>535</v>
      </c>
      <c r="B14" s="16">
        <v>0.85</v>
      </c>
      <c r="C14" s="16">
        <v>0.97</v>
      </c>
      <c r="D14" s="16">
        <v>0.85</v>
      </c>
      <c r="E14" s="16">
        <v>0.98</v>
      </c>
      <c r="F14" s="16">
        <v>0.84</v>
      </c>
      <c r="G14" s="16">
        <v>0.98</v>
      </c>
      <c r="H14" s="16"/>
      <c r="I14" s="16"/>
      <c r="J14" s="16"/>
      <c r="K14" s="16"/>
      <c r="L14" s="16"/>
      <c r="M14" s="16"/>
      <c r="N14" s="16"/>
      <c r="O14" s="16"/>
    </row>
    <row r="15" spans="1:15" x14ac:dyDescent="0.35">
      <c r="A15" s="11" t="s">
        <v>395</v>
      </c>
      <c r="B15" s="16">
        <v>1</v>
      </c>
      <c r="C15" s="16">
        <v>1</v>
      </c>
      <c r="D15" s="16">
        <v>1</v>
      </c>
      <c r="E15" s="16">
        <v>1</v>
      </c>
      <c r="F15" s="16">
        <v>1</v>
      </c>
      <c r="G15" s="16">
        <v>1</v>
      </c>
      <c r="H15" s="16"/>
      <c r="I15" s="16"/>
      <c r="J15" s="16"/>
      <c r="K15" s="16"/>
      <c r="L15" s="16"/>
      <c r="M15" s="16"/>
      <c r="N15" s="16"/>
      <c r="O15" s="16"/>
    </row>
    <row r="16" spans="1:15" ht="30" customHeight="1" x14ac:dyDescent="0.4">
      <c r="A16" s="5" t="s">
        <v>241</v>
      </c>
      <c r="B16" s="16"/>
      <c r="C16" s="16"/>
      <c r="D16" s="16"/>
      <c r="E16" s="16"/>
      <c r="F16" s="16"/>
      <c r="G16" s="16"/>
      <c r="H16" s="16"/>
      <c r="I16" s="16"/>
      <c r="J16" s="16"/>
      <c r="K16" s="16"/>
      <c r="L16" s="16"/>
      <c r="M16" s="16"/>
      <c r="N16" s="16"/>
      <c r="O16" s="16"/>
    </row>
    <row r="17" spans="1:15" x14ac:dyDescent="0.35">
      <c r="A17" s="11" t="s">
        <v>386</v>
      </c>
      <c r="B17" s="16" t="s">
        <v>389</v>
      </c>
      <c r="C17" s="16" t="s">
        <v>390</v>
      </c>
      <c r="D17" s="16" t="s">
        <v>391</v>
      </c>
      <c r="E17" s="16" t="s">
        <v>392</v>
      </c>
      <c r="F17" s="16" t="s">
        <v>393</v>
      </c>
      <c r="G17" s="16" t="s">
        <v>394</v>
      </c>
      <c r="H17" s="16"/>
      <c r="I17" s="16"/>
      <c r="J17" s="16"/>
      <c r="K17" s="16"/>
      <c r="L17" s="16"/>
      <c r="M17" s="16"/>
      <c r="N17" s="16"/>
      <c r="O17" s="16"/>
    </row>
    <row r="18" spans="1:15" x14ac:dyDescent="0.35">
      <c r="A18" s="8" t="s">
        <v>534</v>
      </c>
      <c r="B18" s="12">
        <v>40</v>
      </c>
      <c r="C18" s="12">
        <v>58</v>
      </c>
      <c r="D18" s="12">
        <v>55</v>
      </c>
      <c r="E18" s="12">
        <v>48</v>
      </c>
      <c r="F18" s="12">
        <v>43</v>
      </c>
      <c r="G18" s="12">
        <v>47</v>
      </c>
      <c r="H18" s="12"/>
      <c r="I18" s="12"/>
      <c r="J18" s="12"/>
      <c r="K18" s="12"/>
      <c r="L18" s="12"/>
      <c r="M18" s="12"/>
      <c r="N18" s="12"/>
      <c r="O18" s="12"/>
    </row>
    <row r="19" spans="1:15" x14ac:dyDescent="0.35">
      <c r="A19" s="11" t="s">
        <v>535</v>
      </c>
      <c r="B19" s="13">
        <v>44</v>
      </c>
      <c r="C19" s="13">
        <v>43</v>
      </c>
      <c r="D19" s="13">
        <v>38</v>
      </c>
      <c r="E19" s="13">
        <v>40</v>
      </c>
      <c r="F19" s="13">
        <v>44</v>
      </c>
      <c r="G19" s="13">
        <v>37</v>
      </c>
      <c r="H19" s="13"/>
      <c r="I19" s="13"/>
      <c r="J19" s="13"/>
      <c r="K19" s="13"/>
      <c r="L19" s="13"/>
      <c r="M19" s="13"/>
      <c r="N19" s="13"/>
      <c r="O19" s="13"/>
    </row>
    <row r="20" spans="1:15" x14ac:dyDescent="0.35">
      <c r="A20" s="11" t="s">
        <v>395</v>
      </c>
      <c r="B20" s="13">
        <v>44</v>
      </c>
      <c r="C20" s="13">
        <v>43</v>
      </c>
      <c r="D20" s="13">
        <v>41</v>
      </c>
      <c r="E20" s="13">
        <v>40</v>
      </c>
      <c r="F20" s="13">
        <v>43</v>
      </c>
      <c r="G20" s="13">
        <v>37</v>
      </c>
      <c r="H20" s="13"/>
      <c r="I20" s="13"/>
      <c r="J20" s="13"/>
      <c r="K20" s="13"/>
      <c r="L20" s="13"/>
      <c r="M20" s="13"/>
      <c r="N20" s="13"/>
      <c r="O20" s="13"/>
    </row>
    <row r="21" spans="1:15" ht="30" customHeight="1" x14ac:dyDescent="0.4">
      <c r="A21" s="5" t="s">
        <v>242</v>
      </c>
      <c r="B21" s="13"/>
      <c r="C21" s="13"/>
      <c r="D21" s="13"/>
      <c r="E21" s="13"/>
      <c r="F21" s="13"/>
      <c r="G21" s="13"/>
      <c r="H21" s="13"/>
      <c r="I21" s="13"/>
      <c r="J21" s="13"/>
      <c r="K21" s="13"/>
      <c r="L21" s="13"/>
      <c r="M21" s="13"/>
      <c r="N21" s="13"/>
      <c r="O21" s="13"/>
    </row>
    <row r="22" spans="1:15" x14ac:dyDescent="0.35">
      <c r="A22" s="11" t="s">
        <v>386</v>
      </c>
      <c r="B22" s="13" t="s">
        <v>389</v>
      </c>
      <c r="C22" s="13" t="s">
        <v>390</v>
      </c>
      <c r="D22" s="13" t="s">
        <v>391</v>
      </c>
      <c r="E22" s="13" t="s">
        <v>392</v>
      </c>
      <c r="F22" s="13" t="s">
        <v>393</v>
      </c>
      <c r="G22" s="13" t="s">
        <v>394</v>
      </c>
      <c r="H22" s="13"/>
      <c r="I22" s="13"/>
      <c r="J22" s="13"/>
      <c r="K22" s="13"/>
      <c r="L22" s="13"/>
      <c r="M22" s="13"/>
      <c r="N22" s="13"/>
      <c r="O22" s="13"/>
    </row>
    <row r="23" spans="1:15" x14ac:dyDescent="0.35">
      <c r="A23" s="8" t="s">
        <v>534</v>
      </c>
      <c r="B23" s="12">
        <v>316</v>
      </c>
      <c r="C23" s="12">
        <v>334</v>
      </c>
      <c r="D23" s="12">
        <v>299</v>
      </c>
      <c r="E23" s="12">
        <v>290</v>
      </c>
      <c r="F23" s="12">
        <v>293</v>
      </c>
      <c r="G23" s="12">
        <v>270</v>
      </c>
      <c r="H23" s="12"/>
      <c r="I23" s="12"/>
      <c r="J23" s="12"/>
      <c r="K23" s="12"/>
      <c r="L23" s="12"/>
      <c r="M23" s="12"/>
      <c r="N23" s="12"/>
      <c r="O23" s="12"/>
    </row>
    <row r="24" spans="1:15" x14ac:dyDescent="0.35">
      <c r="A24" s="11" t="s">
        <v>535</v>
      </c>
      <c r="B24" s="13">
        <v>1751</v>
      </c>
      <c r="C24" s="13">
        <v>1555</v>
      </c>
      <c r="D24" s="13">
        <v>1393</v>
      </c>
      <c r="E24" s="13">
        <v>1317</v>
      </c>
      <c r="F24" s="13">
        <v>1219</v>
      </c>
      <c r="G24" s="13">
        <v>959</v>
      </c>
      <c r="H24" s="13"/>
      <c r="I24" s="13"/>
      <c r="J24" s="13"/>
      <c r="K24" s="13"/>
      <c r="L24" s="13"/>
      <c r="M24" s="13"/>
      <c r="N24" s="13"/>
      <c r="O24" s="13"/>
    </row>
    <row r="25" spans="1:15" x14ac:dyDescent="0.35">
      <c r="A25" s="11" t="s">
        <v>395</v>
      </c>
      <c r="B25" s="13">
        <v>2067</v>
      </c>
      <c r="C25" s="13">
        <v>1889</v>
      </c>
      <c r="D25" s="13">
        <v>1692</v>
      </c>
      <c r="E25" s="13">
        <v>1607</v>
      </c>
      <c r="F25" s="13">
        <v>1512</v>
      </c>
      <c r="G25" s="13">
        <v>1229</v>
      </c>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248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567</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247</v>
      </c>
      <c r="B6" s="9"/>
      <c r="C6" s="9"/>
      <c r="D6" s="9"/>
      <c r="E6" s="9"/>
      <c r="F6" s="9"/>
      <c r="G6" s="9"/>
      <c r="H6" s="9"/>
      <c r="I6" s="9"/>
      <c r="J6" s="9"/>
      <c r="K6" s="9"/>
      <c r="L6" s="9"/>
      <c r="M6" s="9"/>
      <c r="N6" s="9"/>
      <c r="O6" s="9"/>
    </row>
    <row r="7" spans="1:15" x14ac:dyDescent="0.35">
      <c r="A7" s="11" t="s">
        <v>467</v>
      </c>
      <c r="B7" s="9" t="s">
        <v>416</v>
      </c>
      <c r="C7" s="9" t="s">
        <v>417</v>
      </c>
      <c r="D7" s="9" t="s">
        <v>418</v>
      </c>
      <c r="E7" s="9" t="s">
        <v>419</v>
      </c>
      <c r="F7" s="9" t="s">
        <v>420</v>
      </c>
      <c r="G7" s="9" t="s">
        <v>421</v>
      </c>
      <c r="H7" s="9" t="s">
        <v>422</v>
      </c>
      <c r="I7" s="9" t="s">
        <v>423</v>
      </c>
      <c r="J7" s="9" t="s">
        <v>424</v>
      </c>
      <c r="K7" s="9" t="s">
        <v>425</v>
      </c>
      <c r="L7" s="9"/>
      <c r="M7" s="9"/>
      <c r="N7" s="9"/>
      <c r="O7" s="9"/>
    </row>
    <row r="8" spans="1:15" x14ac:dyDescent="0.35">
      <c r="A8" s="8" t="s">
        <v>394</v>
      </c>
      <c r="B8" s="12">
        <v>23000</v>
      </c>
      <c r="C8" s="12">
        <v>60000</v>
      </c>
      <c r="D8" s="12">
        <v>85000</v>
      </c>
      <c r="E8" s="12">
        <v>110000</v>
      </c>
      <c r="F8" s="12">
        <v>135000</v>
      </c>
      <c r="G8" s="12">
        <v>170000</v>
      </c>
      <c r="H8" s="12">
        <v>210000</v>
      </c>
      <c r="I8" s="12">
        <v>255000</v>
      </c>
      <c r="J8" s="12">
        <v>324400</v>
      </c>
      <c r="K8" s="12">
        <v>550000</v>
      </c>
      <c r="L8" s="12"/>
      <c r="M8" s="12"/>
      <c r="N8" s="12"/>
      <c r="O8" s="12"/>
    </row>
    <row r="9" spans="1:15" ht="30" customHeight="1" x14ac:dyDescent="0.4">
      <c r="A9" s="5" t="s">
        <v>245</v>
      </c>
      <c r="B9" s="13"/>
      <c r="C9" s="13"/>
      <c r="D9" s="13"/>
      <c r="E9" s="13"/>
      <c r="F9" s="13"/>
      <c r="G9" s="13"/>
      <c r="H9" s="13"/>
      <c r="I9" s="13"/>
      <c r="J9" s="13"/>
      <c r="K9" s="13"/>
      <c r="L9" s="13"/>
      <c r="M9" s="13"/>
      <c r="N9" s="13"/>
      <c r="O9" s="13"/>
    </row>
    <row r="10" spans="1:15" x14ac:dyDescent="0.35">
      <c r="A10" s="11" t="s">
        <v>467</v>
      </c>
      <c r="B10" s="13" t="s">
        <v>416</v>
      </c>
      <c r="C10" s="13" t="s">
        <v>417</v>
      </c>
      <c r="D10" s="13" t="s">
        <v>418</v>
      </c>
      <c r="E10" s="13" t="s">
        <v>419</v>
      </c>
      <c r="F10" s="13" t="s">
        <v>420</v>
      </c>
      <c r="G10" s="13" t="s">
        <v>421</v>
      </c>
      <c r="H10" s="13" t="s">
        <v>422</v>
      </c>
      <c r="I10" s="13" t="s">
        <v>423</v>
      </c>
      <c r="J10" s="13" t="s">
        <v>424</v>
      </c>
      <c r="K10" s="13" t="s">
        <v>425</v>
      </c>
      <c r="L10" s="13"/>
      <c r="M10" s="13"/>
      <c r="N10" s="13"/>
      <c r="O10" s="13"/>
    </row>
    <row r="11" spans="1:15" x14ac:dyDescent="0.35">
      <c r="A11" s="8" t="s">
        <v>394</v>
      </c>
      <c r="B11" s="12">
        <v>34</v>
      </c>
      <c r="C11" s="12">
        <v>47</v>
      </c>
      <c r="D11" s="12">
        <v>54</v>
      </c>
      <c r="E11" s="12">
        <v>58</v>
      </c>
      <c r="F11" s="12">
        <v>62</v>
      </c>
      <c r="G11" s="12">
        <v>57</v>
      </c>
      <c r="H11" s="12">
        <v>66</v>
      </c>
      <c r="I11" s="12">
        <v>62</v>
      </c>
      <c r="J11" s="12">
        <v>59</v>
      </c>
      <c r="K11" s="12">
        <v>65</v>
      </c>
      <c r="L11" s="12"/>
      <c r="M11" s="12"/>
      <c r="N11" s="12"/>
      <c r="O11" s="12"/>
    </row>
    <row r="12" spans="1:15" ht="30" customHeight="1" x14ac:dyDescent="0.4">
      <c r="A12" s="5" t="s">
        <v>246</v>
      </c>
      <c r="B12" s="13"/>
      <c r="C12" s="13"/>
      <c r="D12" s="13"/>
      <c r="E12" s="13"/>
      <c r="F12" s="13"/>
      <c r="G12" s="13"/>
      <c r="H12" s="13"/>
      <c r="I12" s="13"/>
      <c r="J12" s="13"/>
      <c r="K12" s="13"/>
      <c r="L12" s="13"/>
      <c r="M12" s="13"/>
      <c r="N12" s="13"/>
      <c r="O12" s="13"/>
    </row>
    <row r="13" spans="1:15" x14ac:dyDescent="0.35">
      <c r="A13" s="11" t="s">
        <v>467</v>
      </c>
      <c r="B13" s="13" t="s">
        <v>416</v>
      </c>
      <c r="C13" s="13" t="s">
        <v>417</v>
      </c>
      <c r="D13" s="13" t="s">
        <v>418</v>
      </c>
      <c r="E13" s="13" t="s">
        <v>419</v>
      </c>
      <c r="F13" s="13" t="s">
        <v>420</v>
      </c>
      <c r="G13" s="13" t="s">
        <v>421</v>
      </c>
      <c r="H13" s="13" t="s">
        <v>422</v>
      </c>
      <c r="I13" s="13" t="s">
        <v>423</v>
      </c>
      <c r="J13" s="13" t="s">
        <v>424</v>
      </c>
      <c r="K13" s="13" t="s">
        <v>425</v>
      </c>
      <c r="L13" s="13"/>
      <c r="M13" s="13"/>
      <c r="N13" s="13"/>
      <c r="O13" s="13"/>
    </row>
    <row r="14" spans="1:15" x14ac:dyDescent="0.35">
      <c r="A14" s="8" t="s">
        <v>394</v>
      </c>
      <c r="B14" s="12">
        <v>51</v>
      </c>
      <c r="C14" s="12">
        <v>66</v>
      </c>
      <c r="D14" s="12">
        <v>85</v>
      </c>
      <c r="E14" s="12">
        <v>84</v>
      </c>
      <c r="F14" s="12">
        <v>107</v>
      </c>
      <c r="G14" s="12">
        <v>97</v>
      </c>
      <c r="H14" s="12">
        <v>100</v>
      </c>
      <c r="I14" s="12">
        <v>106</v>
      </c>
      <c r="J14" s="12">
        <v>117</v>
      </c>
      <c r="K14" s="12">
        <v>144</v>
      </c>
      <c r="L14" s="12"/>
      <c r="M14" s="12"/>
      <c r="N14" s="12"/>
      <c r="O14" s="12"/>
    </row>
    <row r="15" spans="1:15" x14ac:dyDescent="0.35">
      <c r="A15" s="11"/>
      <c r="B15" s="13"/>
      <c r="C15" s="13"/>
      <c r="D15" s="13"/>
      <c r="E15" s="13"/>
      <c r="F15" s="13"/>
      <c r="G15" s="13"/>
      <c r="H15" s="13"/>
      <c r="I15" s="13"/>
      <c r="J15" s="13"/>
      <c r="K15" s="13"/>
      <c r="L15" s="13"/>
      <c r="M15" s="13"/>
      <c r="N15" s="13"/>
      <c r="O15" s="13"/>
    </row>
    <row r="16" spans="1:15" x14ac:dyDescent="0.35">
      <c r="A16" s="11"/>
      <c r="B16" s="13"/>
      <c r="C16" s="13"/>
      <c r="D16" s="13"/>
      <c r="E16" s="13"/>
      <c r="F16" s="13"/>
      <c r="G16" s="13"/>
      <c r="H16" s="13"/>
      <c r="I16" s="13"/>
      <c r="J16" s="13"/>
      <c r="K16" s="13"/>
      <c r="L16" s="13"/>
      <c r="M16" s="13"/>
      <c r="N16" s="13"/>
      <c r="O16" s="13"/>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252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567</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251</v>
      </c>
      <c r="B6" s="9"/>
      <c r="C6" s="9"/>
      <c r="D6" s="9"/>
      <c r="E6" s="9"/>
      <c r="F6" s="9"/>
      <c r="G6" s="9"/>
      <c r="H6" s="9"/>
      <c r="I6" s="9"/>
      <c r="J6" s="9"/>
      <c r="K6" s="9"/>
      <c r="L6" s="9"/>
      <c r="M6" s="9"/>
      <c r="N6" s="9"/>
      <c r="O6" s="9"/>
    </row>
    <row r="7" spans="1:15" x14ac:dyDescent="0.35">
      <c r="A7" s="11" t="s">
        <v>468</v>
      </c>
      <c r="B7" s="9" t="s">
        <v>387</v>
      </c>
      <c r="C7" s="9" t="s">
        <v>388</v>
      </c>
      <c r="D7" s="9" t="s">
        <v>389</v>
      </c>
      <c r="E7" s="9" t="s">
        <v>390</v>
      </c>
      <c r="F7" s="9" t="s">
        <v>391</v>
      </c>
      <c r="G7" s="9" t="s">
        <v>392</v>
      </c>
      <c r="H7" s="9" t="s">
        <v>393</v>
      </c>
      <c r="I7" s="9" t="s">
        <v>394</v>
      </c>
      <c r="J7" s="9"/>
      <c r="K7" s="9"/>
      <c r="L7" s="9"/>
      <c r="M7" s="9"/>
      <c r="N7" s="9"/>
      <c r="O7" s="9"/>
    </row>
    <row r="8" spans="1:15" x14ac:dyDescent="0.35">
      <c r="A8" s="8" t="s">
        <v>416</v>
      </c>
      <c r="B8" s="12">
        <v>23900</v>
      </c>
      <c r="C8" s="12">
        <v>20200</v>
      </c>
      <c r="D8" s="12">
        <v>19000</v>
      </c>
      <c r="E8" s="12">
        <v>17000</v>
      </c>
      <c r="F8" s="12">
        <v>17200</v>
      </c>
      <c r="G8" s="12">
        <v>21400</v>
      </c>
      <c r="H8" s="12">
        <v>18700</v>
      </c>
      <c r="I8" s="12">
        <v>23000</v>
      </c>
      <c r="J8" s="12"/>
      <c r="K8" s="12"/>
      <c r="L8" s="12"/>
      <c r="M8" s="12"/>
      <c r="N8" s="12"/>
      <c r="O8" s="12"/>
    </row>
    <row r="9" spans="1:15" x14ac:dyDescent="0.35">
      <c r="A9" s="11" t="s">
        <v>417</v>
      </c>
      <c r="B9" s="13">
        <v>59900</v>
      </c>
      <c r="C9" s="13">
        <v>56700</v>
      </c>
      <c r="D9" s="13">
        <v>52900</v>
      </c>
      <c r="E9" s="13">
        <v>45200</v>
      </c>
      <c r="F9" s="13">
        <v>50000</v>
      </c>
      <c r="G9" s="13">
        <v>54000</v>
      </c>
      <c r="H9" s="13">
        <v>47000</v>
      </c>
      <c r="I9" s="13">
        <v>60000</v>
      </c>
      <c r="J9" s="13"/>
      <c r="K9" s="13"/>
      <c r="L9" s="13"/>
      <c r="M9" s="13"/>
      <c r="N9" s="13"/>
      <c r="O9" s="13"/>
    </row>
    <row r="10" spans="1:15" x14ac:dyDescent="0.35">
      <c r="A10" s="11" t="s">
        <v>418</v>
      </c>
      <c r="B10" s="13">
        <v>83800</v>
      </c>
      <c r="C10" s="13">
        <v>77500</v>
      </c>
      <c r="D10" s="13">
        <v>79700</v>
      </c>
      <c r="E10" s="13">
        <v>67800</v>
      </c>
      <c r="F10" s="13">
        <v>69900</v>
      </c>
      <c r="G10" s="13">
        <v>72400</v>
      </c>
      <c r="H10" s="13">
        <v>73800</v>
      </c>
      <c r="I10" s="13">
        <v>85000</v>
      </c>
      <c r="J10" s="13"/>
      <c r="K10" s="13"/>
      <c r="L10" s="13"/>
      <c r="M10" s="13"/>
      <c r="N10" s="13"/>
      <c r="O10" s="13"/>
    </row>
    <row r="11" spans="1:15" x14ac:dyDescent="0.35">
      <c r="A11" s="11" t="s">
        <v>419</v>
      </c>
      <c r="B11" s="13">
        <v>106400</v>
      </c>
      <c r="C11" s="13">
        <v>100800</v>
      </c>
      <c r="D11" s="13">
        <v>101100</v>
      </c>
      <c r="E11" s="13">
        <v>90400</v>
      </c>
      <c r="F11" s="13">
        <v>92100</v>
      </c>
      <c r="G11" s="13">
        <v>91700</v>
      </c>
      <c r="H11" s="13">
        <v>98800</v>
      </c>
      <c r="I11" s="13">
        <v>110000</v>
      </c>
      <c r="J11" s="13"/>
      <c r="K11" s="13"/>
      <c r="L11" s="13"/>
      <c r="M11" s="13"/>
      <c r="N11" s="13"/>
      <c r="O11" s="13"/>
    </row>
    <row r="12" spans="1:15" x14ac:dyDescent="0.35">
      <c r="A12" s="11" t="s">
        <v>420</v>
      </c>
      <c r="B12" s="13">
        <v>127700</v>
      </c>
      <c r="C12" s="13">
        <v>121000</v>
      </c>
      <c r="D12" s="13">
        <v>119000</v>
      </c>
      <c r="E12" s="13">
        <v>113000</v>
      </c>
      <c r="F12" s="13">
        <v>118800</v>
      </c>
      <c r="G12" s="13">
        <v>118800</v>
      </c>
      <c r="H12" s="13">
        <v>121700</v>
      </c>
      <c r="I12" s="13">
        <v>135000</v>
      </c>
      <c r="J12" s="13"/>
      <c r="K12" s="13"/>
      <c r="L12" s="13"/>
      <c r="M12" s="13"/>
      <c r="N12" s="13"/>
      <c r="O12" s="13"/>
    </row>
    <row r="13" spans="1:15" x14ac:dyDescent="0.35">
      <c r="A13" s="11" t="s">
        <v>421</v>
      </c>
      <c r="B13" s="13">
        <v>153000</v>
      </c>
      <c r="C13" s="13">
        <v>151200</v>
      </c>
      <c r="D13" s="13">
        <v>144000</v>
      </c>
      <c r="E13" s="13">
        <v>143500</v>
      </c>
      <c r="F13" s="13">
        <v>152100</v>
      </c>
      <c r="G13" s="13">
        <v>151200</v>
      </c>
      <c r="H13" s="13">
        <v>150800</v>
      </c>
      <c r="I13" s="13">
        <v>170000</v>
      </c>
      <c r="J13" s="13"/>
      <c r="K13" s="13"/>
      <c r="L13" s="13"/>
      <c r="M13" s="13"/>
      <c r="N13" s="13"/>
      <c r="O13" s="13"/>
    </row>
    <row r="14" spans="1:15" x14ac:dyDescent="0.35">
      <c r="A14" s="11" t="s">
        <v>422</v>
      </c>
      <c r="B14" s="13">
        <v>188900</v>
      </c>
      <c r="C14" s="13">
        <v>189000</v>
      </c>
      <c r="D14" s="13">
        <v>178500</v>
      </c>
      <c r="E14" s="13">
        <v>175200</v>
      </c>
      <c r="F14" s="13">
        <v>188700</v>
      </c>
      <c r="G14" s="13">
        <v>189000</v>
      </c>
      <c r="H14" s="13">
        <v>192400</v>
      </c>
      <c r="I14" s="13">
        <v>210000</v>
      </c>
      <c r="J14" s="13"/>
      <c r="K14" s="13"/>
      <c r="L14" s="13"/>
      <c r="M14" s="13"/>
      <c r="N14" s="13"/>
      <c r="O14" s="13"/>
    </row>
    <row r="15" spans="1:15" x14ac:dyDescent="0.35">
      <c r="A15" s="11" t="s">
        <v>423</v>
      </c>
      <c r="B15" s="13">
        <v>239400</v>
      </c>
      <c r="C15" s="13">
        <v>238700</v>
      </c>
      <c r="D15" s="13">
        <v>232100</v>
      </c>
      <c r="E15" s="13">
        <v>214700</v>
      </c>
      <c r="F15" s="13">
        <v>222000</v>
      </c>
      <c r="G15" s="13">
        <v>222500</v>
      </c>
      <c r="H15" s="13">
        <v>239200</v>
      </c>
      <c r="I15" s="13">
        <v>255000</v>
      </c>
      <c r="J15" s="13"/>
      <c r="K15" s="13"/>
      <c r="L15" s="13"/>
      <c r="M15" s="13"/>
      <c r="N15" s="13"/>
      <c r="O15" s="13"/>
    </row>
    <row r="16" spans="1:15" x14ac:dyDescent="0.35">
      <c r="A16" s="11" t="s">
        <v>424</v>
      </c>
      <c r="B16" s="13">
        <v>325900</v>
      </c>
      <c r="C16" s="13">
        <v>299900</v>
      </c>
      <c r="D16" s="13">
        <v>297500</v>
      </c>
      <c r="E16" s="13">
        <v>282500</v>
      </c>
      <c r="F16" s="13">
        <v>288600</v>
      </c>
      <c r="G16" s="13">
        <v>280800</v>
      </c>
      <c r="H16" s="13">
        <v>306800</v>
      </c>
      <c r="I16" s="13">
        <v>324400</v>
      </c>
      <c r="J16" s="13"/>
      <c r="K16" s="13"/>
      <c r="L16" s="13"/>
      <c r="M16" s="13"/>
      <c r="N16" s="13"/>
      <c r="O16" s="13"/>
    </row>
    <row r="17" spans="1:15" x14ac:dyDescent="0.35">
      <c r="A17" s="11" t="s">
        <v>425</v>
      </c>
      <c r="B17" s="13">
        <v>484100</v>
      </c>
      <c r="C17" s="13">
        <v>472500</v>
      </c>
      <c r="D17" s="13">
        <v>476000</v>
      </c>
      <c r="E17" s="13">
        <v>485900</v>
      </c>
      <c r="F17" s="13">
        <v>471800</v>
      </c>
      <c r="G17" s="13">
        <v>464400</v>
      </c>
      <c r="H17" s="13">
        <v>520000</v>
      </c>
      <c r="I17" s="13">
        <v>550000</v>
      </c>
      <c r="J17" s="13"/>
      <c r="K17" s="13"/>
      <c r="L17" s="13"/>
      <c r="M17" s="13"/>
      <c r="N17" s="13"/>
      <c r="O17" s="13"/>
    </row>
    <row r="18" spans="1:15" x14ac:dyDescent="0.35">
      <c r="A18" s="11" t="s">
        <v>395</v>
      </c>
      <c r="B18" s="13">
        <v>134300</v>
      </c>
      <c r="C18" s="13">
        <v>131000</v>
      </c>
      <c r="D18" s="13">
        <v>128200</v>
      </c>
      <c r="E18" s="13">
        <v>124300</v>
      </c>
      <c r="F18" s="13">
        <v>133200</v>
      </c>
      <c r="G18" s="13">
        <v>129600</v>
      </c>
      <c r="H18" s="13">
        <v>130000</v>
      </c>
      <c r="I18" s="13">
        <v>150000</v>
      </c>
      <c r="J18" s="13"/>
      <c r="K18" s="13"/>
      <c r="L18" s="13"/>
      <c r="M18" s="13"/>
      <c r="N18" s="13"/>
      <c r="O18" s="13"/>
    </row>
    <row r="19" spans="1:15" ht="30" customHeight="1" x14ac:dyDescent="0.4">
      <c r="A19" s="5" t="s">
        <v>249</v>
      </c>
      <c r="B19" s="13"/>
      <c r="C19" s="13"/>
      <c r="D19" s="13"/>
      <c r="E19" s="13"/>
      <c r="F19" s="13"/>
      <c r="G19" s="13"/>
      <c r="H19" s="13"/>
      <c r="I19" s="13"/>
      <c r="J19" s="13"/>
      <c r="K19" s="13"/>
      <c r="L19" s="13"/>
      <c r="M19" s="13"/>
      <c r="N19" s="13"/>
      <c r="O19" s="13"/>
    </row>
    <row r="20" spans="1:15" x14ac:dyDescent="0.35">
      <c r="A20" s="11" t="s">
        <v>468</v>
      </c>
      <c r="B20" s="13" t="s">
        <v>387</v>
      </c>
      <c r="C20" s="13" t="s">
        <v>388</v>
      </c>
      <c r="D20" s="13" t="s">
        <v>389</v>
      </c>
      <c r="E20" s="13" t="s">
        <v>390</v>
      </c>
      <c r="F20" s="13" t="s">
        <v>391</v>
      </c>
      <c r="G20" s="13" t="s">
        <v>392</v>
      </c>
      <c r="H20" s="13" t="s">
        <v>393</v>
      </c>
      <c r="I20" s="13" t="s">
        <v>394</v>
      </c>
      <c r="J20" s="13"/>
      <c r="K20" s="13"/>
      <c r="L20" s="13"/>
      <c r="M20" s="13"/>
      <c r="N20" s="13"/>
      <c r="O20" s="13"/>
    </row>
    <row r="21" spans="1:15" x14ac:dyDescent="0.35">
      <c r="A21" s="8" t="s">
        <v>416</v>
      </c>
      <c r="B21" s="12">
        <v>34</v>
      </c>
      <c r="C21" s="12">
        <v>35</v>
      </c>
      <c r="D21" s="12">
        <v>34</v>
      </c>
      <c r="E21" s="12">
        <v>34</v>
      </c>
      <c r="F21" s="12">
        <v>39</v>
      </c>
      <c r="G21" s="12">
        <v>39</v>
      </c>
      <c r="H21" s="12">
        <v>32</v>
      </c>
      <c r="I21" s="12">
        <v>34</v>
      </c>
      <c r="J21" s="12"/>
      <c r="K21" s="12"/>
      <c r="L21" s="12"/>
      <c r="M21" s="12"/>
      <c r="N21" s="12"/>
      <c r="O21" s="12"/>
    </row>
    <row r="22" spans="1:15" x14ac:dyDescent="0.35">
      <c r="A22" s="11" t="s">
        <v>417</v>
      </c>
      <c r="B22" s="13">
        <v>40</v>
      </c>
      <c r="C22" s="13">
        <v>40</v>
      </c>
      <c r="D22" s="13">
        <v>44</v>
      </c>
      <c r="E22" s="13">
        <v>43</v>
      </c>
      <c r="F22" s="13">
        <v>46</v>
      </c>
      <c r="G22" s="13">
        <v>41</v>
      </c>
      <c r="H22" s="13">
        <v>42</v>
      </c>
      <c r="I22" s="13">
        <v>47</v>
      </c>
      <c r="J22" s="13"/>
      <c r="K22" s="13"/>
      <c r="L22" s="13"/>
      <c r="M22" s="13"/>
      <c r="N22" s="13"/>
      <c r="O22" s="13"/>
    </row>
    <row r="23" spans="1:15" x14ac:dyDescent="0.35">
      <c r="A23" s="11" t="s">
        <v>418</v>
      </c>
      <c r="B23" s="13">
        <v>51</v>
      </c>
      <c r="C23" s="13">
        <v>48</v>
      </c>
      <c r="D23" s="13">
        <v>50</v>
      </c>
      <c r="E23" s="13">
        <v>51</v>
      </c>
      <c r="F23" s="13">
        <v>49</v>
      </c>
      <c r="G23" s="13">
        <v>48</v>
      </c>
      <c r="H23" s="13">
        <v>53</v>
      </c>
      <c r="I23" s="13">
        <v>54</v>
      </c>
      <c r="J23" s="13"/>
      <c r="K23" s="13"/>
      <c r="L23" s="13"/>
      <c r="M23" s="13"/>
      <c r="N23" s="13"/>
      <c r="O23" s="13"/>
    </row>
    <row r="24" spans="1:15" x14ac:dyDescent="0.35">
      <c r="A24" s="11" t="s">
        <v>419</v>
      </c>
      <c r="B24" s="13">
        <v>52</v>
      </c>
      <c r="C24" s="13">
        <v>55</v>
      </c>
      <c r="D24" s="13">
        <v>62</v>
      </c>
      <c r="E24" s="13">
        <v>62</v>
      </c>
      <c r="F24" s="13">
        <v>57</v>
      </c>
      <c r="G24" s="13">
        <v>57</v>
      </c>
      <c r="H24" s="13">
        <v>58</v>
      </c>
      <c r="I24" s="13">
        <v>58</v>
      </c>
      <c r="J24" s="13"/>
      <c r="K24" s="13"/>
      <c r="L24" s="13"/>
      <c r="M24" s="13"/>
      <c r="N24" s="13"/>
      <c r="O24" s="13"/>
    </row>
    <row r="25" spans="1:15" x14ac:dyDescent="0.35">
      <c r="A25" s="11" t="s">
        <v>420</v>
      </c>
      <c r="B25" s="13">
        <v>57</v>
      </c>
      <c r="C25" s="13">
        <v>60</v>
      </c>
      <c r="D25" s="13">
        <v>56</v>
      </c>
      <c r="E25" s="13">
        <v>54</v>
      </c>
      <c r="F25" s="13">
        <v>62</v>
      </c>
      <c r="G25" s="13">
        <v>60</v>
      </c>
      <c r="H25" s="13">
        <v>53</v>
      </c>
      <c r="I25" s="13">
        <v>62</v>
      </c>
      <c r="J25" s="13"/>
      <c r="K25" s="13"/>
      <c r="L25" s="13"/>
      <c r="M25" s="13"/>
      <c r="N25" s="13"/>
      <c r="O25" s="13"/>
    </row>
    <row r="26" spans="1:15" x14ac:dyDescent="0.35">
      <c r="A26" s="11" t="s">
        <v>421</v>
      </c>
      <c r="B26" s="13">
        <v>51</v>
      </c>
      <c r="C26" s="13">
        <v>51</v>
      </c>
      <c r="D26" s="13">
        <v>57</v>
      </c>
      <c r="E26" s="13">
        <v>58</v>
      </c>
      <c r="F26" s="13">
        <v>57</v>
      </c>
      <c r="G26" s="13">
        <v>60</v>
      </c>
      <c r="H26" s="13">
        <v>64</v>
      </c>
      <c r="I26" s="13">
        <v>57</v>
      </c>
      <c r="J26" s="13"/>
      <c r="K26" s="13"/>
      <c r="L26" s="13"/>
      <c r="M26" s="13"/>
      <c r="N26" s="13"/>
      <c r="O26" s="13"/>
    </row>
    <row r="27" spans="1:15" x14ac:dyDescent="0.35">
      <c r="A27" s="11" t="s">
        <v>422</v>
      </c>
      <c r="B27" s="13">
        <v>58</v>
      </c>
      <c r="C27" s="13">
        <v>58</v>
      </c>
      <c r="D27" s="13">
        <v>56</v>
      </c>
      <c r="E27" s="13">
        <v>62</v>
      </c>
      <c r="F27" s="13">
        <v>63</v>
      </c>
      <c r="G27" s="13">
        <v>58</v>
      </c>
      <c r="H27" s="13">
        <v>61</v>
      </c>
      <c r="I27" s="13">
        <v>66</v>
      </c>
      <c r="J27" s="13"/>
      <c r="K27" s="13"/>
      <c r="L27" s="13"/>
      <c r="M27" s="13"/>
      <c r="N27" s="13"/>
      <c r="O27" s="13"/>
    </row>
    <row r="28" spans="1:15" x14ac:dyDescent="0.35">
      <c r="A28" s="11" t="s">
        <v>423</v>
      </c>
      <c r="B28" s="13">
        <v>58</v>
      </c>
      <c r="C28" s="13">
        <v>60</v>
      </c>
      <c r="D28" s="13">
        <v>60</v>
      </c>
      <c r="E28" s="13">
        <v>63</v>
      </c>
      <c r="F28" s="13">
        <v>61</v>
      </c>
      <c r="G28" s="13">
        <v>66</v>
      </c>
      <c r="H28" s="13">
        <v>63</v>
      </c>
      <c r="I28" s="13">
        <v>62</v>
      </c>
      <c r="J28" s="13"/>
      <c r="K28" s="13"/>
      <c r="L28" s="13"/>
      <c r="M28" s="13"/>
      <c r="N28" s="13"/>
      <c r="O28" s="13"/>
    </row>
    <row r="29" spans="1:15" x14ac:dyDescent="0.35">
      <c r="A29" s="11" t="s">
        <v>424</v>
      </c>
      <c r="B29" s="13">
        <v>55</v>
      </c>
      <c r="C29" s="13">
        <v>55</v>
      </c>
      <c r="D29" s="13">
        <v>60</v>
      </c>
      <c r="E29" s="13">
        <v>61</v>
      </c>
      <c r="F29" s="13">
        <v>63</v>
      </c>
      <c r="G29" s="13">
        <v>62</v>
      </c>
      <c r="H29" s="13">
        <v>60</v>
      </c>
      <c r="I29" s="13">
        <v>59</v>
      </c>
      <c r="J29" s="13"/>
      <c r="K29" s="13"/>
      <c r="L29" s="13"/>
      <c r="M29" s="13"/>
      <c r="N29" s="13"/>
      <c r="O29" s="13"/>
    </row>
    <row r="30" spans="1:15" x14ac:dyDescent="0.35">
      <c r="A30" s="11" t="s">
        <v>425</v>
      </c>
      <c r="B30" s="13">
        <v>58</v>
      </c>
      <c r="C30" s="13">
        <v>58</v>
      </c>
      <c r="D30" s="13">
        <v>59</v>
      </c>
      <c r="E30" s="13">
        <v>61</v>
      </c>
      <c r="F30" s="13">
        <v>64</v>
      </c>
      <c r="G30" s="13">
        <v>64</v>
      </c>
      <c r="H30" s="13">
        <v>63</v>
      </c>
      <c r="I30" s="13">
        <v>65</v>
      </c>
      <c r="J30" s="13"/>
      <c r="K30" s="13"/>
      <c r="L30" s="13"/>
      <c r="M30" s="13"/>
      <c r="N30" s="13"/>
      <c r="O30" s="13"/>
    </row>
    <row r="31" spans="1:15" x14ac:dyDescent="0.35">
      <c r="A31" s="11" t="s">
        <v>395</v>
      </c>
      <c r="B31" s="13">
        <v>52</v>
      </c>
      <c r="C31" s="13">
        <v>52</v>
      </c>
      <c r="D31" s="13">
        <v>54</v>
      </c>
      <c r="E31" s="13">
        <v>55</v>
      </c>
      <c r="F31" s="13">
        <v>56</v>
      </c>
      <c r="G31" s="13">
        <v>55</v>
      </c>
      <c r="H31" s="13">
        <v>55</v>
      </c>
      <c r="I31" s="13">
        <v>57</v>
      </c>
      <c r="J31" s="13"/>
      <c r="K31" s="13"/>
      <c r="L31" s="13"/>
      <c r="M31" s="13"/>
      <c r="N31" s="13"/>
      <c r="O31" s="13"/>
    </row>
    <row r="32" spans="1:15" ht="30" customHeight="1" x14ac:dyDescent="0.4">
      <c r="A32" s="5" t="s">
        <v>250</v>
      </c>
      <c r="B32" s="13"/>
      <c r="C32" s="13"/>
      <c r="D32" s="13"/>
      <c r="E32" s="13"/>
      <c r="F32" s="13"/>
      <c r="G32" s="13"/>
      <c r="H32" s="13"/>
      <c r="I32" s="13"/>
      <c r="J32" s="13"/>
      <c r="K32" s="13"/>
      <c r="L32" s="13"/>
      <c r="M32" s="13"/>
      <c r="N32" s="13"/>
      <c r="O32" s="13"/>
    </row>
    <row r="33" spans="1:15" x14ac:dyDescent="0.35">
      <c r="A33" s="11" t="s">
        <v>468</v>
      </c>
      <c r="B33" s="13" t="s">
        <v>387</v>
      </c>
      <c r="C33" s="13" t="s">
        <v>388</v>
      </c>
      <c r="D33" s="13" t="s">
        <v>389</v>
      </c>
      <c r="E33" s="13" t="s">
        <v>390</v>
      </c>
      <c r="F33" s="13" t="s">
        <v>391</v>
      </c>
      <c r="G33" s="13" t="s">
        <v>392</v>
      </c>
      <c r="H33" s="13" t="s">
        <v>393</v>
      </c>
      <c r="I33" s="13" t="s">
        <v>394</v>
      </c>
      <c r="J33" s="13"/>
      <c r="K33" s="13"/>
      <c r="L33" s="13"/>
      <c r="M33" s="13"/>
      <c r="N33" s="13"/>
      <c r="O33" s="13"/>
    </row>
    <row r="34" spans="1:15" x14ac:dyDescent="0.35">
      <c r="A34" s="8" t="s">
        <v>416</v>
      </c>
      <c r="B34" s="12">
        <v>168</v>
      </c>
      <c r="C34" s="12">
        <v>102</v>
      </c>
      <c r="D34" s="12">
        <v>103</v>
      </c>
      <c r="E34" s="12">
        <v>91</v>
      </c>
      <c r="F34" s="12">
        <v>89</v>
      </c>
      <c r="G34" s="12">
        <v>74</v>
      </c>
      <c r="H34" s="12">
        <v>60</v>
      </c>
      <c r="I34" s="12">
        <v>51</v>
      </c>
      <c r="J34" s="12"/>
      <c r="K34" s="12"/>
      <c r="L34" s="12"/>
      <c r="M34" s="12"/>
      <c r="N34" s="12"/>
      <c r="O34" s="12"/>
    </row>
    <row r="35" spans="1:15" x14ac:dyDescent="0.35">
      <c r="A35" s="11" t="s">
        <v>417</v>
      </c>
      <c r="B35" s="13">
        <v>171</v>
      </c>
      <c r="C35" s="13">
        <v>107</v>
      </c>
      <c r="D35" s="13">
        <v>110</v>
      </c>
      <c r="E35" s="13">
        <v>103</v>
      </c>
      <c r="F35" s="13">
        <v>85</v>
      </c>
      <c r="G35" s="13">
        <v>85</v>
      </c>
      <c r="H35" s="13">
        <v>71</v>
      </c>
      <c r="I35" s="13">
        <v>66</v>
      </c>
      <c r="J35" s="13"/>
      <c r="K35" s="13"/>
      <c r="L35" s="13"/>
      <c r="M35" s="13"/>
      <c r="N35" s="13"/>
      <c r="O35" s="13"/>
    </row>
    <row r="36" spans="1:15" x14ac:dyDescent="0.35">
      <c r="A36" s="11" t="s">
        <v>418</v>
      </c>
      <c r="B36" s="13">
        <v>188</v>
      </c>
      <c r="C36" s="13">
        <v>128</v>
      </c>
      <c r="D36" s="13">
        <v>148</v>
      </c>
      <c r="E36" s="13">
        <v>106</v>
      </c>
      <c r="F36" s="13">
        <v>102</v>
      </c>
      <c r="G36" s="13">
        <v>90</v>
      </c>
      <c r="H36" s="13">
        <v>96</v>
      </c>
      <c r="I36" s="13">
        <v>85</v>
      </c>
      <c r="J36" s="13"/>
      <c r="K36" s="13"/>
      <c r="L36" s="13"/>
      <c r="M36" s="13"/>
      <c r="N36" s="13"/>
      <c r="O36" s="13"/>
    </row>
    <row r="37" spans="1:15" x14ac:dyDescent="0.35">
      <c r="A37" s="11" t="s">
        <v>419</v>
      </c>
      <c r="B37" s="13">
        <v>176</v>
      </c>
      <c r="C37" s="13">
        <v>128</v>
      </c>
      <c r="D37" s="13">
        <v>140</v>
      </c>
      <c r="E37" s="13">
        <v>158</v>
      </c>
      <c r="F37" s="13">
        <v>104</v>
      </c>
      <c r="G37" s="13">
        <v>118</v>
      </c>
      <c r="H37" s="13">
        <v>103</v>
      </c>
      <c r="I37" s="13">
        <v>84</v>
      </c>
      <c r="J37" s="13"/>
      <c r="K37" s="13"/>
      <c r="L37" s="13"/>
      <c r="M37" s="13"/>
      <c r="N37" s="13"/>
      <c r="O37" s="13"/>
    </row>
    <row r="38" spans="1:15" x14ac:dyDescent="0.35">
      <c r="A38" s="11" t="s">
        <v>420</v>
      </c>
      <c r="B38" s="13">
        <v>182</v>
      </c>
      <c r="C38" s="13">
        <v>141</v>
      </c>
      <c r="D38" s="13">
        <v>121</v>
      </c>
      <c r="E38" s="13">
        <v>129</v>
      </c>
      <c r="F38" s="13">
        <v>149</v>
      </c>
      <c r="G38" s="13">
        <v>120</v>
      </c>
      <c r="H38" s="13">
        <v>95</v>
      </c>
      <c r="I38" s="13">
        <v>107</v>
      </c>
      <c r="J38" s="13"/>
      <c r="K38" s="13"/>
      <c r="L38" s="13"/>
      <c r="M38" s="13"/>
      <c r="N38" s="13"/>
      <c r="O38" s="13"/>
    </row>
    <row r="39" spans="1:15" x14ac:dyDescent="0.35">
      <c r="A39" s="11" t="s">
        <v>421</v>
      </c>
      <c r="B39" s="13">
        <v>187</v>
      </c>
      <c r="C39" s="13">
        <v>147</v>
      </c>
      <c r="D39" s="13">
        <v>156</v>
      </c>
      <c r="E39" s="13">
        <v>143</v>
      </c>
      <c r="F39" s="13">
        <v>125</v>
      </c>
      <c r="G39" s="13">
        <v>125</v>
      </c>
      <c r="H39" s="13">
        <v>122</v>
      </c>
      <c r="I39" s="13">
        <v>97</v>
      </c>
      <c r="J39" s="13"/>
      <c r="K39" s="13"/>
      <c r="L39" s="13"/>
      <c r="M39" s="13"/>
      <c r="N39" s="13"/>
      <c r="O39" s="13"/>
    </row>
    <row r="40" spans="1:15" x14ac:dyDescent="0.35">
      <c r="A40" s="11" t="s">
        <v>422</v>
      </c>
      <c r="B40" s="13">
        <v>194</v>
      </c>
      <c r="C40" s="13">
        <v>156</v>
      </c>
      <c r="D40" s="13">
        <v>151</v>
      </c>
      <c r="E40" s="13">
        <v>134</v>
      </c>
      <c r="F40" s="13">
        <v>110</v>
      </c>
      <c r="G40" s="13">
        <v>119</v>
      </c>
      <c r="H40" s="13">
        <v>142</v>
      </c>
      <c r="I40" s="13">
        <v>100</v>
      </c>
      <c r="J40" s="13"/>
      <c r="K40" s="13"/>
      <c r="L40" s="13"/>
      <c r="M40" s="13"/>
      <c r="N40" s="13"/>
      <c r="O40" s="13"/>
    </row>
    <row r="41" spans="1:15" x14ac:dyDescent="0.35">
      <c r="A41" s="11" t="s">
        <v>423</v>
      </c>
      <c r="B41" s="13">
        <v>238</v>
      </c>
      <c r="C41" s="13">
        <v>169</v>
      </c>
      <c r="D41" s="13">
        <v>160</v>
      </c>
      <c r="E41" s="13">
        <v>140</v>
      </c>
      <c r="F41" s="13">
        <v>126</v>
      </c>
      <c r="G41" s="13">
        <v>118</v>
      </c>
      <c r="H41" s="13">
        <v>130</v>
      </c>
      <c r="I41" s="13">
        <v>106</v>
      </c>
      <c r="J41" s="13"/>
      <c r="K41" s="13"/>
      <c r="L41" s="13"/>
      <c r="M41" s="13"/>
      <c r="N41" s="13"/>
      <c r="O41" s="13"/>
    </row>
    <row r="42" spans="1:15" x14ac:dyDescent="0.35">
      <c r="A42" s="11" t="s">
        <v>424</v>
      </c>
      <c r="B42" s="13">
        <v>177</v>
      </c>
      <c r="C42" s="13">
        <v>138</v>
      </c>
      <c r="D42" s="13">
        <v>175</v>
      </c>
      <c r="E42" s="13">
        <v>164</v>
      </c>
      <c r="F42" s="13">
        <v>156</v>
      </c>
      <c r="G42" s="13">
        <v>141</v>
      </c>
      <c r="H42" s="13">
        <v>125</v>
      </c>
      <c r="I42" s="13">
        <v>117</v>
      </c>
      <c r="J42" s="13"/>
      <c r="K42" s="13"/>
      <c r="L42" s="13"/>
      <c r="M42" s="13"/>
      <c r="N42" s="13"/>
      <c r="O42" s="13"/>
    </row>
    <row r="43" spans="1:15" x14ac:dyDescent="0.35">
      <c r="A43" s="11" t="s">
        <v>425</v>
      </c>
      <c r="B43" s="13">
        <v>250</v>
      </c>
      <c r="C43" s="13">
        <v>197</v>
      </c>
      <c r="D43" s="13">
        <v>195</v>
      </c>
      <c r="E43" s="13">
        <v>188</v>
      </c>
      <c r="F43" s="13">
        <v>173</v>
      </c>
      <c r="G43" s="13">
        <v>179</v>
      </c>
      <c r="H43" s="13">
        <v>169</v>
      </c>
      <c r="I43" s="13">
        <v>144</v>
      </c>
      <c r="J43" s="13"/>
      <c r="K43" s="13"/>
      <c r="L43" s="13"/>
      <c r="M43" s="13"/>
      <c r="N43" s="13"/>
      <c r="O43" s="13"/>
    </row>
    <row r="44" spans="1:15" x14ac:dyDescent="0.35">
      <c r="A44" s="11" t="s">
        <v>395</v>
      </c>
      <c r="B44" s="13">
        <v>1931</v>
      </c>
      <c r="C44" s="13">
        <v>1413</v>
      </c>
      <c r="D44" s="13">
        <v>1459</v>
      </c>
      <c r="E44" s="13">
        <v>1356</v>
      </c>
      <c r="F44" s="13">
        <v>1219</v>
      </c>
      <c r="G44" s="13">
        <v>1169</v>
      </c>
      <c r="H44" s="13">
        <v>1113</v>
      </c>
      <c r="I44" s="13">
        <v>957</v>
      </c>
      <c r="J44" s="13"/>
      <c r="K44" s="13"/>
      <c r="L44" s="13"/>
      <c r="M44" s="13"/>
      <c r="N44" s="13"/>
      <c r="O44" s="13"/>
    </row>
    <row r="45" spans="1:15" x14ac:dyDescent="0.35">
      <c r="A45" s="11"/>
      <c r="B45" s="13"/>
      <c r="C45" s="13"/>
      <c r="D45" s="13"/>
      <c r="E45" s="13"/>
      <c r="F45" s="13"/>
      <c r="G45" s="13"/>
      <c r="H45" s="13"/>
      <c r="I45" s="13"/>
      <c r="J45" s="13"/>
      <c r="K45" s="13"/>
      <c r="L45" s="13"/>
      <c r="M45" s="13"/>
      <c r="N45" s="13"/>
      <c r="O45" s="13"/>
    </row>
    <row r="46" spans="1:15" x14ac:dyDescent="0.35">
      <c r="A46" s="11"/>
      <c r="B46" s="13"/>
      <c r="C46" s="13"/>
      <c r="D46" s="13"/>
      <c r="E46" s="13"/>
      <c r="F46" s="13"/>
      <c r="G46" s="13"/>
      <c r="H46" s="13"/>
      <c r="I46" s="13"/>
      <c r="J46" s="13"/>
      <c r="K46" s="13"/>
      <c r="L46" s="13"/>
      <c r="M46" s="13"/>
      <c r="N46" s="13"/>
      <c r="O46" s="13"/>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257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522</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256</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523</v>
      </c>
      <c r="B8" s="15">
        <v>0.83</v>
      </c>
      <c r="C8" s="15">
        <v>0.83</v>
      </c>
      <c r="D8" s="15">
        <v>0.83</v>
      </c>
      <c r="E8" s="15">
        <v>0.83</v>
      </c>
      <c r="F8" s="15">
        <v>0.84</v>
      </c>
      <c r="G8" s="15">
        <v>0.89</v>
      </c>
      <c r="H8" s="15">
        <v>0.85</v>
      </c>
      <c r="I8" s="15">
        <v>0.79</v>
      </c>
      <c r="J8" s="15"/>
      <c r="K8" s="15"/>
      <c r="L8" s="15"/>
      <c r="M8" s="15"/>
      <c r="N8" s="15"/>
      <c r="O8" s="15"/>
    </row>
    <row r="9" spans="1:15" x14ac:dyDescent="0.35">
      <c r="A9" s="11" t="s">
        <v>524</v>
      </c>
      <c r="B9" s="16">
        <v>0.82</v>
      </c>
      <c r="C9" s="16">
        <v>0.79</v>
      </c>
      <c r="D9" s="16">
        <v>0.81</v>
      </c>
      <c r="E9" s="16">
        <v>0.77</v>
      </c>
      <c r="F9" s="16">
        <v>0.72</v>
      </c>
      <c r="G9" s="16">
        <v>0.69</v>
      </c>
      <c r="H9" s="16">
        <v>0.74</v>
      </c>
      <c r="I9" s="16">
        <v>0.7</v>
      </c>
      <c r="J9" s="16"/>
      <c r="K9" s="16"/>
      <c r="L9" s="16"/>
      <c r="M9" s="16"/>
      <c r="N9" s="16"/>
      <c r="O9" s="16"/>
    </row>
    <row r="10" spans="1:15" x14ac:dyDescent="0.35">
      <c r="A10" s="11" t="s">
        <v>525</v>
      </c>
      <c r="B10" s="16">
        <v>0.79</v>
      </c>
      <c r="C10" s="16">
        <v>0.81</v>
      </c>
      <c r="D10" s="16">
        <v>0.78</v>
      </c>
      <c r="E10" s="16">
        <v>0.76</v>
      </c>
      <c r="F10" s="16">
        <v>0.79</v>
      </c>
      <c r="G10" s="16">
        <v>0.78</v>
      </c>
      <c r="H10" s="16">
        <v>0.77</v>
      </c>
      <c r="I10" s="16">
        <v>0.74</v>
      </c>
      <c r="J10" s="16"/>
      <c r="K10" s="16"/>
      <c r="L10" s="16"/>
      <c r="M10" s="16"/>
      <c r="N10" s="16"/>
      <c r="O10" s="16"/>
    </row>
    <row r="11" spans="1:15" x14ac:dyDescent="0.35">
      <c r="A11" s="11" t="s">
        <v>503</v>
      </c>
      <c r="B11" s="16">
        <v>0.59</v>
      </c>
      <c r="C11" s="16">
        <v>0.59</v>
      </c>
      <c r="D11" s="16">
        <v>0.64</v>
      </c>
      <c r="E11" s="16">
        <v>0.68</v>
      </c>
      <c r="F11" s="16">
        <v>0.65</v>
      </c>
      <c r="G11" s="16">
        <v>0.6</v>
      </c>
      <c r="H11" s="16">
        <v>0.6</v>
      </c>
      <c r="I11" s="16">
        <v>0.61</v>
      </c>
      <c r="J11" s="16"/>
      <c r="K11" s="16"/>
      <c r="L11" s="16"/>
      <c r="M11" s="16"/>
      <c r="N11" s="16"/>
      <c r="O11" s="16"/>
    </row>
    <row r="12" spans="1:15" x14ac:dyDescent="0.35">
      <c r="A12" s="11" t="s">
        <v>526</v>
      </c>
      <c r="B12" s="16">
        <v>0.56000000000000005</v>
      </c>
      <c r="C12" s="16">
        <v>0.57999999999999996</v>
      </c>
      <c r="D12" s="16">
        <v>0.59</v>
      </c>
      <c r="E12" s="16">
        <v>0.55000000000000004</v>
      </c>
      <c r="F12" s="16">
        <v>0.57999999999999996</v>
      </c>
      <c r="G12" s="16">
        <v>0.66</v>
      </c>
      <c r="H12" s="16">
        <v>0.64</v>
      </c>
      <c r="I12" s="16">
        <v>0.59</v>
      </c>
      <c r="J12" s="16"/>
      <c r="K12" s="16"/>
      <c r="L12" s="16"/>
      <c r="M12" s="16"/>
      <c r="N12" s="16"/>
      <c r="O12" s="16"/>
    </row>
    <row r="13" spans="1:15" x14ac:dyDescent="0.35">
      <c r="A13" s="11" t="s">
        <v>527</v>
      </c>
      <c r="B13" s="16">
        <v>0.52</v>
      </c>
      <c r="C13" s="16">
        <v>0.49</v>
      </c>
      <c r="D13" s="16">
        <v>0.44</v>
      </c>
      <c r="E13" s="16">
        <v>0.46</v>
      </c>
      <c r="F13" s="16">
        <v>0.54</v>
      </c>
      <c r="G13" s="16">
        <v>0.52</v>
      </c>
      <c r="H13" s="16">
        <v>0.49</v>
      </c>
      <c r="I13" s="16">
        <v>0.47</v>
      </c>
      <c r="J13" s="16"/>
      <c r="K13" s="16"/>
      <c r="L13" s="16"/>
      <c r="M13" s="16"/>
      <c r="N13" s="16"/>
      <c r="O13" s="16"/>
    </row>
    <row r="14" spans="1:15" x14ac:dyDescent="0.35">
      <c r="A14" s="11" t="s">
        <v>528</v>
      </c>
      <c r="B14" s="16">
        <v>0.33</v>
      </c>
      <c r="C14" s="16">
        <v>0.37</v>
      </c>
      <c r="D14" s="16">
        <v>0.31</v>
      </c>
      <c r="E14" s="16">
        <v>0.35</v>
      </c>
      <c r="F14" s="16">
        <v>0.32</v>
      </c>
      <c r="G14" s="16">
        <v>0.28000000000000003</v>
      </c>
      <c r="H14" s="16">
        <v>0.28999999999999998</v>
      </c>
      <c r="I14" s="16">
        <v>0.28999999999999998</v>
      </c>
      <c r="J14" s="16"/>
      <c r="K14" s="16"/>
      <c r="L14" s="16"/>
      <c r="M14" s="16"/>
      <c r="N14" s="16"/>
      <c r="O14" s="16"/>
    </row>
    <row r="15" spans="1:15" x14ac:dyDescent="0.35">
      <c r="A15" s="11" t="s">
        <v>395</v>
      </c>
      <c r="B15" s="16">
        <v>0.66</v>
      </c>
      <c r="C15" s="16">
        <v>0.66</v>
      </c>
      <c r="D15" s="16">
        <v>0.66</v>
      </c>
      <c r="E15" s="16">
        <v>0.66</v>
      </c>
      <c r="F15" s="16">
        <v>0.66</v>
      </c>
      <c r="G15" s="16">
        <v>0.66</v>
      </c>
      <c r="H15" s="16">
        <v>0.65</v>
      </c>
      <c r="I15" s="16">
        <v>0.62</v>
      </c>
      <c r="J15" s="16"/>
      <c r="K15" s="16"/>
      <c r="L15" s="16"/>
      <c r="M15" s="16"/>
      <c r="N15" s="16"/>
      <c r="O15" s="16"/>
    </row>
    <row r="16" spans="1:15" ht="30" customHeight="1" x14ac:dyDescent="0.4">
      <c r="A16" s="5" t="s">
        <v>253</v>
      </c>
      <c r="B16" s="16"/>
      <c r="C16" s="16"/>
      <c r="D16" s="16"/>
      <c r="E16" s="16"/>
      <c r="F16" s="16"/>
      <c r="G16" s="16"/>
      <c r="H16" s="16"/>
      <c r="I16" s="16"/>
      <c r="J16" s="16"/>
      <c r="K16" s="16"/>
      <c r="L16" s="16"/>
      <c r="M16" s="16"/>
      <c r="N16" s="16"/>
      <c r="O16" s="16"/>
    </row>
    <row r="17" spans="1:15" x14ac:dyDescent="0.35">
      <c r="A17" s="11" t="s">
        <v>386</v>
      </c>
      <c r="B17" s="16" t="s">
        <v>387</v>
      </c>
      <c r="C17" s="16" t="s">
        <v>388</v>
      </c>
      <c r="D17" s="16" t="s">
        <v>389</v>
      </c>
      <c r="E17" s="16" t="s">
        <v>390</v>
      </c>
      <c r="F17" s="16" t="s">
        <v>391</v>
      </c>
      <c r="G17" s="16" t="s">
        <v>392</v>
      </c>
      <c r="H17" s="16" t="s">
        <v>393</v>
      </c>
      <c r="I17" s="16" t="s">
        <v>394</v>
      </c>
      <c r="J17" s="16"/>
      <c r="K17" s="16"/>
      <c r="L17" s="16"/>
      <c r="M17" s="16"/>
      <c r="N17" s="16"/>
      <c r="O17" s="16"/>
    </row>
    <row r="18" spans="1:15" x14ac:dyDescent="0.35">
      <c r="A18" s="8" t="s">
        <v>523</v>
      </c>
      <c r="B18" s="15">
        <v>0.17</v>
      </c>
      <c r="C18" s="15">
        <v>0.16</v>
      </c>
      <c r="D18" s="15">
        <v>0.17</v>
      </c>
      <c r="E18" s="15">
        <v>0.21</v>
      </c>
      <c r="F18" s="15">
        <v>0.19</v>
      </c>
      <c r="G18" s="15">
        <v>0.16</v>
      </c>
      <c r="H18" s="15">
        <v>0.16</v>
      </c>
      <c r="I18" s="15">
        <v>0.15</v>
      </c>
      <c r="J18" s="15"/>
      <c r="K18" s="15"/>
      <c r="L18" s="15"/>
      <c r="M18" s="15"/>
      <c r="N18" s="15"/>
      <c r="O18" s="15"/>
    </row>
    <row r="19" spans="1:15" x14ac:dyDescent="0.35">
      <c r="A19" s="11" t="s">
        <v>524</v>
      </c>
      <c r="B19" s="16">
        <v>0.21</v>
      </c>
      <c r="C19" s="16">
        <v>0.18</v>
      </c>
      <c r="D19" s="16">
        <v>0.16</v>
      </c>
      <c r="E19" s="16">
        <v>0.14000000000000001</v>
      </c>
      <c r="F19" s="16">
        <v>0.13</v>
      </c>
      <c r="G19" s="16">
        <v>0.15</v>
      </c>
      <c r="H19" s="16">
        <v>0.16</v>
      </c>
      <c r="I19" s="16">
        <v>0.17</v>
      </c>
      <c r="J19" s="16"/>
      <c r="K19" s="16"/>
      <c r="L19" s="16"/>
      <c r="M19" s="16"/>
      <c r="N19" s="16"/>
      <c r="O19" s="16"/>
    </row>
    <row r="20" spans="1:15" x14ac:dyDescent="0.35">
      <c r="A20" s="11" t="s">
        <v>525</v>
      </c>
      <c r="B20" s="16">
        <v>0.22</v>
      </c>
      <c r="C20" s="16">
        <v>0.24</v>
      </c>
      <c r="D20" s="16">
        <v>0.24</v>
      </c>
      <c r="E20" s="16">
        <v>0.23</v>
      </c>
      <c r="F20" s="16">
        <v>0.22</v>
      </c>
      <c r="G20" s="16">
        <v>0.23</v>
      </c>
      <c r="H20" s="16">
        <v>0.22</v>
      </c>
      <c r="I20" s="16">
        <v>0.19</v>
      </c>
      <c r="J20" s="16"/>
      <c r="K20" s="16"/>
      <c r="L20" s="16"/>
      <c r="M20" s="16"/>
      <c r="N20" s="16"/>
      <c r="O20" s="16"/>
    </row>
    <row r="21" spans="1:15" x14ac:dyDescent="0.35">
      <c r="A21" s="11" t="s">
        <v>503</v>
      </c>
      <c r="B21" s="16">
        <v>0.12</v>
      </c>
      <c r="C21" s="16">
        <v>0.12</v>
      </c>
      <c r="D21" s="16">
        <v>0.17</v>
      </c>
      <c r="E21" s="16">
        <v>0.15</v>
      </c>
      <c r="F21" s="16">
        <v>0.15</v>
      </c>
      <c r="G21" s="16">
        <v>0.15</v>
      </c>
      <c r="H21" s="16">
        <v>0.15</v>
      </c>
      <c r="I21" s="16">
        <v>0.17</v>
      </c>
      <c r="J21" s="16"/>
      <c r="K21" s="16"/>
      <c r="L21" s="16"/>
      <c r="M21" s="16"/>
      <c r="N21" s="16"/>
      <c r="O21" s="16"/>
    </row>
    <row r="22" spans="1:15" x14ac:dyDescent="0.35">
      <c r="A22" s="11" t="s">
        <v>526</v>
      </c>
      <c r="B22" s="16">
        <v>0.13</v>
      </c>
      <c r="C22" s="16">
        <v>0.14000000000000001</v>
      </c>
      <c r="D22" s="16">
        <v>0.14000000000000001</v>
      </c>
      <c r="E22" s="16">
        <v>0.15</v>
      </c>
      <c r="F22" s="16">
        <v>0.16</v>
      </c>
      <c r="G22" s="16">
        <v>0.14000000000000001</v>
      </c>
      <c r="H22" s="16">
        <v>0.15</v>
      </c>
      <c r="I22" s="16">
        <v>0.15</v>
      </c>
      <c r="J22" s="16"/>
      <c r="K22" s="16"/>
      <c r="L22" s="16"/>
      <c r="M22" s="16"/>
      <c r="N22" s="16"/>
      <c r="O22" s="16"/>
    </row>
    <row r="23" spans="1:15" x14ac:dyDescent="0.35">
      <c r="A23" s="11" t="s">
        <v>527</v>
      </c>
      <c r="B23" s="16">
        <v>0.13</v>
      </c>
      <c r="C23" s="16">
        <v>0.12</v>
      </c>
      <c r="D23" s="16">
        <v>0.1</v>
      </c>
      <c r="E23" s="16">
        <v>0.09</v>
      </c>
      <c r="F23" s="16">
        <v>0.12</v>
      </c>
      <c r="G23" s="16">
        <v>0.14000000000000001</v>
      </c>
      <c r="H23" s="16">
        <v>0.15</v>
      </c>
      <c r="I23" s="16">
        <v>0.15</v>
      </c>
      <c r="J23" s="16"/>
      <c r="K23" s="16"/>
      <c r="L23" s="16"/>
      <c r="M23" s="16"/>
      <c r="N23" s="16"/>
      <c r="O23" s="16"/>
    </row>
    <row r="24" spans="1:15" x14ac:dyDescent="0.35">
      <c r="A24" s="11" t="s">
        <v>528</v>
      </c>
      <c r="B24" s="16">
        <v>0.03</v>
      </c>
      <c r="C24" s="16">
        <v>0.03</v>
      </c>
      <c r="D24" s="16">
        <v>0.02</v>
      </c>
      <c r="E24" s="16">
        <v>0.03</v>
      </c>
      <c r="F24" s="16">
        <v>0.03</v>
      </c>
      <c r="G24" s="16">
        <v>0.02</v>
      </c>
      <c r="H24" s="16">
        <v>0.02</v>
      </c>
      <c r="I24" s="16">
        <v>0.02</v>
      </c>
      <c r="J24" s="16"/>
      <c r="K24" s="16"/>
      <c r="L24" s="16"/>
      <c r="M24" s="16"/>
      <c r="N24" s="16"/>
      <c r="O24" s="16"/>
    </row>
    <row r="25" spans="1:15" x14ac:dyDescent="0.35">
      <c r="A25" s="11" t="s">
        <v>395</v>
      </c>
      <c r="B25" s="16">
        <v>1</v>
      </c>
      <c r="C25" s="16">
        <v>1</v>
      </c>
      <c r="D25" s="16">
        <v>1</v>
      </c>
      <c r="E25" s="16">
        <v>1</v>
      </c>
      <c r="F25" s="16">
        <v>1</v>
      </c>
      <c r="G25" s="16">
        <v>1</v>
      </c>
      <c r="H25" s="16">
        <v>1</v>
      </c>
      <c r="I25" s="16">
        <v>1</v>
      </c>
      <c r="J25" s="16"/>
      <c r="K25" s="16"/>
      <c r="L25" s="16"/>
      <c r="M25" s="16"/>
      <c r="N25" s="16"/>
      <c r="O25" s="16"/>
    </row>
    <row r="26" spans="1:15" ht="30" customHeight="1" x14ac:dyDescent="0.4">
      <c r="A26" s="5" t="s">
        <v>254</v>
      </c>
      <c r="B26" s="16"/>
      <c r="C26" s="16"/>
      <c r="D26" s="16"/>
      <c r="E26" s="16"/>
      <c r="F26" s="16"/>
      <c r="G26" s="16"/>
      <c r="H26" s="16"/>
      <c r="I26" s="16"/>
      <c r="J26" s="16"/>
      <c r="K26" s="16"/>
      <c r="L26" s="16"/>
      <c r="M26" s="16"/>
      <c r="N26" s="16"/>
      <c r="O26" s="16"/>
    </row>
    <row r="27" spans="1:15" x14ac:dyDescent="0.35">
      <c r="A27" s="11" t="s">
        <v>386</v>
      </c>
      <c r="B27" s="16" t="s">
        <v>387</v>
      </c>
      <c r="C27" s="16" t="s">
        <v>388</v>
      </c>
      <c r="D27" s="16" t="s">
        <v>389</v>
      </c>
      <c r="E27" s="16" t="s">
        <v>390</v>
      </c>
      <c r="F27" s="16" t="s">
        <v>391</v>
      </c>
      <c r="G27" s="16" t="s">
        <v>392</v>
      </c>
      <c r="H27" s="16" t="s">
        <v>393</v>
      </c>
      <c r="I27" s="16" t="s">
        <v>394</v>
      </c>
      <c r="J27" s="16"/>
      <c r="K27" s="16"/>
      <c r="L27" s="16"/>
      <c r="M27" s="16"/>
      <c r="N27" s="16"/>
      <c r="O27" s="16"/>
    </row>
    <row r="28" spans="1:15" x14ac:dyDescent="0.35">
      <c r="A28" s="8" t="s">
        <v>523</v>
      </c>
      <c r="B28" s="12">
        <v>70</v>
      </c>
      <c r="C28" s="12">
        <v>69</v>
      </c>
      <c r="D28" s="12">
        <v>69</v>
      </c>
      <c r="E28" s="12">
        <v>68</v>
      </c>
      <c r="F28" s="12">
        <v>71</v>
      </c>
      <c r="G28" s="12">
        <v>70</v>
      </c>
      <c r="H28" s="12">
        <v>72</v>
      </c>
      <c r="I28" s="12">
        <v>71</v>
      </c>
      <c r="J28" s="12"/>
      <c r="K28" s="12"/>
      <c r="L28" s="12"/>
      <c r="M28" s="12"/>
      <c r="N28" s="12"/>
      <c r="O28" s="12"/>
    </row>
    <row r="29" spans="1:15" x14ac:dyDescent="0.35">
      <c r="A29" s="11" t="s">
        <v>524</v>
      </c>
      <c r="B29" s="13">
        <v>49</v>
      </c>
      <c r="C29" s="13">
        <v>45</v>
      </c>
      <c r="D29" s="13">
        <v>47</v>
      </c>
      <c r="E29" s="13">
        <v>50</v>
      </c>
      <c r="F29" s="13">
        <v>52</v>
      </c>
      <c r="G29" s="13">
        <v>53</v>
      </c>
      <c r="H29" s="13">
        <v>53</v>
      </c>
      <c r="I29" s="13">
        <v>55</v>
      </c>
      <c r="J29" s="13"/>
      <c r="K29" s="13"/>
      <c r="L29" s="13"/>
      <c r="M29" s="13"/>
      <c r="N29" s="13"/>
      <c r="O29" s="13"/>
    </row>
    <row r="30" spans="1:15" x14ac:dyDescent="0.35">
      <c r="A30" s="11" t="s">
        <v>525</v>
      </c>
      <c r="B30" s="13">
        <v>41</v>
      </c>
      <c r="C30" s="13">
        <v>42</v>
      </c>
      <c r="D30" s="13">
        <v>41</v>
      </c>
      <c r="E30" s="13">
        <v>42</v>
      </c>
      <c r="F30" s="13">
        <v>42</v>
      </c>
      <c r="G30" s="13">
        <v>42</v>
      </c>
      <c r="H30" s="13">
        <v>41</v>
      </c>
      <c r="I30" s="13">
        <v>43</v>
      </c>
      <c r="J30" s="13"/>
      <c r="K30" s="13"/>
      <c r="L30" s="13"/>
      <c r="M30" s="13"/>
      <c r="N30" s="13"/>
      <c r="O30" s="13"/>
    </row>
    <row r="31" spans="1:15" x14ac:dyDescent="0.35">
      <c r="A31" s="11" t="s">
        <v>503</v>
      </c>
      <c r="B31" s="13">
        <v>52</v>
      </c>
      <c r="C31" s="13">
        <v>53</v>
      </c>
      <c r="D31" s="13">
        <v>54</v>
      </c>
      <c r="E31" s="13">
        <v>53</v>
      </c>
      <c r="F31" s="13">
        <v>54</v>
      </c>
      <c r="G31" s="13">
        <v>56</v>
      </c>
      <c r="H31" s="13">
        <v>56</v>
      </c>
      <c r="I31" s="13">
        <v>57</v>
      </c>
      <c r="J31" s="13"/>
      <c r="K31" s="13"/>
      <c r="L31" s="13"/>
      <c r="M31" s="13"/>
      <c r="N31" s="13"/>
      <c r="O31" s="13"/>
    </row>
    <row r="32" spans="1:15" x14ac:dyDescent="0.35">
      <c r="A32" s="11" t="s">
        <v>526</v>
      </c>
      <c r="B32" s="13">
        <v>74</v>
      </c>
      <c r="C32" s="13">
        <v>74</v>
      </c>
      <c r="D32" s="13">
        <v>75</v>
      </c>
      <c r="E32" s="13">
        <v>76</v>
      </c>
      <c r="F32" s="13">
        <v>77</v>
      </c>
      <c r="G32" s="13">
        <v>78</v>
      </c>
      <c r="H32" s="13">
        <v>77</v>
      </c>
      <c r="I32" s="13">
        <v>76</v>
      </c>
      <c r="J32" s="13"/>
      <c r="K32" s="13"/>
      <c r="L32" s="13"/>
      <c r="M32" s="13"/>
      <c r="N32" s="13"/>
      <c r="O32" s="13"/>
    </row>
    <row r="33" spans="1:15" x14ac:dyDescent="0.35">
      <c r="A33" s="11" t="s">
        <v>527</v>
      </c>
      <c r="B33" s="13">
        <v>43</v>
      </c>
      <c r="C33" s="13">
        <v>44</v>
      </c>
      <c r="D33" s="13">
        <v>46</v>
      </c>
      <c r="E33" s="13">
        <v>48</v>
      </c>
      <c r="F33" s="13">
        <v>48</v>
      </c>
      <c r="G33" s="13">
        <v>49</v>
      </c>
      <c r="H33" s="13">
        <v>51</v>
      </c>
      <c r="I33" s="13">
        <v>49</v>
      </c>
      <c r="J33" s="13"/>
      <c r="K33" s="13"/>
      <c r="L33" s="13"/>
      <c r="M33" s="13"/>
      <c r="N33" s="13"/>
      <c r="O33" s="13"/>
    </row>
    <row r="34" spans="1:15" x14ac:dyDescent="0.35">
      <c r="A34" s="11" t="s">
        <v>528</v>
      </c>
      <c r="B34" s="13">
        <v>43</v>
      </c>
      <c r="C34" s="13">
        <v>46</v>
      </c>
      <c r="D34" s="13">
        <v>44</v>
      </c>
      <c r="E34" s="13">
        <v>46</v>
      </c>
      <c r="F34" s="13">
        <v>44</v>
      </c>
      <c r="G34" s="13">
        <v>44</v>
      </c>
      <c r="H34" s="13">
        <v>47</v>
      </c>
      <c r="I34" s="13">
        <v>45</v>
      </c>
      <c r="J34" s="13"/>
      <c r="K34" s="13"/>
      <c r="L34" s="13"/>
      <c r="M34" s="13"/>
      <c r="N34" s="13"/>
      <c r="O34" s="13"/>
    </row>
    <row r="35" spans="1:15" x14ac:dyDescent="0.35">
      <c r="A35" s="11" t="s">
        <v>395</v>
      </c>
      <c r="B35" s="13">
        <v>52</v>
      </c>
      <c r="C35" s="13">
        <v>52</v>
      </c>
      <c r="D35" s="13">
        <v>54</v>
      </c>
      <c r="E35" s="13">
        <v>55</v>
      </c>
      <c r="F35" s="13">
        <v>56</v>
      </c>
      <c r="G35" s="13">
        <v>55</v>
      </c>
      <c r="H35" s="13">
        <v>55</v>
      </c>
      <c r="I35" s="13">
        <v>57</v>
      </c>
      <c r="J35" s="13"/>
      <c r="K35" s="13"/>
      <c r="L35" s="13"/>
      <c r="M35" s="13"/>
      <c r="N35" s="13"/>
      <c r="O35" s="13"/>
    </row>
    <row r="36" spans="1:15" ht="30" customHeight="1" x14ac:dyDescent="0.4">
      <c r="A36" s="5" t="s">
        <v>255</v>
      </c>
      <c r="B36" s="13"/>
      <c r="C36" s="13"/>
      <c r="D36" s="13"/>
      <c r="E36" s="13"/>
      <c r="F36" s="13"/>
      <c r="G36" s="13"/>
      <c r="H36" s="13"/>
      <c r="I36" s="13"/>
      <c r="J36" s="13"/>
      <c r="K36" s="13"/>
      <c r="L36" s="13"/>
      <c r="M36" s="13"/>
      <c r="N36" s="13"/>
      <c r="O36" s="13"/>
    </row>
    <row r="37" spans="1:15" x14ac:dyDescent="0.35">
      <c r="A37" s="11" t="s">
        <v>386</v>
      </c>
      <c r="B37" s="13" t="s">
        <v>387</v>
      </c>
      <c r="C37" s="13" t="s">
        <v>388</v>
      </c>
      <c r="D37" s="13" t="s">
        <v>389</v>
      </c>
      <c r="E37" s="13" t="s">
        <v>390</v>
      </c>
      <c r="F37" s="13" t="s">
        <v>391</v>
      </c>
      <c r="G37" s="13" t="s">
        <v>392</v>
      </c>
      <c r="H37" s="13" t="s">
        <v>393</v>
      </c>
      <c r="I37" s="13" t="s">
        <v>394</v>
      </c>
      <c r="J37" s="13"/>
      <c r="K37" s="13"/>
      <c r="L37" s="13"/>
      <c r="M37" s="13"/>
      <c r="N37" s="13"/>
      <c r="O37" s="13"/>
    </row>
    <row r="38" spans="1:15" x14ac:dyDescent="0.35">
      <c r="A38" s="8" t="s">
        <v>523</v>
      </c>
      <c r="B38" s="12">
        <v>452</v>
      </c>
      <c r="C38" s="12">
        <v>363</v>
      </c>
      <c r="D38" s="12">
        <v>401</v>
      </c>
      <c r="E38" s="12">
        <v>423</v>
      </c>
      <c r="F38" s="12">
        <v>360</v>
      </c>
      <c r="G38" s="12">
        <v>322</v>
      </c>
      <c r="H38" s="12">
        <v>320</v>
      </c>
      <c r="I38" s="12">
        <v>261</v>
      </c>
      <c r="J38" s="12"/>
      <c r="K38" s="12"/>
      <c r="L38" s="12"/>
      <c r="M38" s="12"/>
      <c r="N38" s="12"/>
      <c r="O38" s="12"/>
    </row>
    <row r="39" spans="1:15" x14ac:dyDescent="0.35">
      <c r="A39" s="11" t="s">
        <v>524</v>
      </c>
      <c r="B39" s="13">
        <v>460</v>
      </c>
      <c r="C39" s="13">
        <v>280</v>
      </c>
      <c r="D39" s="13">
        <v>263</v>
      </c>
      <c r="E39" s="13">
        <v>206</v>
      </c>
      <c r="F39" s="13">
        <v>207</v>
      </c>
      <c r="G39" s="13">
        <v>222</v>
      </c>
      <c r="H39" s="13">
        <v>198</v>
      </c>
      <c r="I39" s="13">
        <v>195</v>
      </c>
      <c r="J39" s="13"/>
      <c r="K39" s="13"/>
      <c r="L39" s="13"/>
      <c r="M39" s="13"/>
      <c r="N39" s="13"/>
      <c r="O39" s="13"/>
    </row>
    <row r="40" spans="1:15" x14ac:dyDescent="0.35">
      <c r="A40" s="11" t="s">
        <v>525</v>
      </c>
      <c r="B40" s="13">
        <v>493</v>
      </c>
      <c r="C40" s="13">
        <v>370</v>
      </c>
      <c r="D40" s="13">
        <v>370</v>
      </c>
      <c r="E40" s="13">
        <v>314</v>
      </c>
      <c r="F40" s="13">
        <v>263</v>
      </c>
      <c r="G40" s="13">
        <v>253</v>
      </c>
      <c r="H40" s="13">
        <v>217</v>
      </c>
      <c r="I40" s="13">
        <v>139</v>
      </c>
      <c r="J40" s="13"/>
      <c r="K40" s="13"/>
      <c r="L40" s="13"/>
      <c r="M40" s="13"/>
      <c r="N40" s="13"/>
      <c r="O40" s="13"/>
    </row>
    <row r="41" spans="1:15" x14ac:dyDescent="0.35">
      <c r="A41" s="11" t="s">
        <v>503</v>
      </c>
      <c r="B41" s="13">
        <v>336</v>
      </c>
      <c r="C41" s="13">
        <v>233</v>
      </c>
      <c r="D41" s="13">
        <v>279</v>
      </c>
      <c r="E41" s="13">
        <v>242</v>
      </c>
      <c r="F41" s="13">
        <v>235</v>
      </c>
      <c r="G41" s="13">
        <v>227</v>
      </c>
      <c r="H41" s="13">
        <v>193</v>
      </c>
      <c r="I41" s="13">
        <v>169</v>
      </c>
      <c r="J41" s="13"/>
      <c r="K41" s="13"/>
      <c r="L41" s="13"/>
      <c r="M41" s="13"/>
      <c r="N41" s="13"/>
      <c r="O41" s="13"/>
    </row>
    <row r="42" spans="1:15" x14ac:dyDescent="0.35">
      <c r="A42" s="11" t="s">
        <v>526</v>
      </c>
      <c r="B42" s="13">
        <v>450</v>
      </c>
      <c r="C42" s="13">
        <v>342</v>
      </c>
      <c r="D42" s="13">
        <v>366</v>
      </c>
      <c r="E42" s="13">
        <v>391</v>
      </c>
      <c r="F42" s="13">
        <v>349</v>
      </c>
      <c r="G42" s="13">
        <v>295</v>
      </c>
      <c r="H42" s="13">
        <v>302</v>
      </c>
      <c r="I42" s="13">
        <v>242</v>
      </c>
      <c r="J42" s="13"/>
      <c r="K42" s="13"/>
      <c r="L42" s="13"/>
      <c r="M42" s="13"/>
      <c r="N42" s="13"/>
      <c r="O42" s="13"/>
    </row>
    <row r="43" spans="1:15" x14ac:dyDescent="0.35">
      <c r="A43" s="11" t="s">
        <v>527</v>
      </c>
      <c r="B43" s="13">
        <v>443</v>
      </c>
      <c r="C43" s="13">
        <v>287</v>
      </c>
      <c r="D43" s="13">
        <v>284</v>
      </c>
      <c r="E43" s="13">
        <v>226</v>
      </c>
      <c r="F43" s="13">
        <v>209</v>
      </c>
      <c r="G43" s="13">
        <v>222</v>
      </c>
      <c r="H43" s="13">
        <v>231</v>
      </c>
      <c r="I43" s="13">
        <v>191</v>
      </c>
      <c r="J43" s="13"/>
      <c r="K43" s="13"/>
      <c r="L43" s="13"/>
      <c r="M43" s="13"/>
      <c r="N43" s="13"/>
      <c r="O43" s="13"/>
    </row>
    <row r="44" spans="1:15" x14ac:dyDescent="0.35">
      <c r="A44" s="11" t="s">
        <v>528</v>
      </c>
      <c r="B44" s="13">
        <v>199</v>
      </c>
      <c r="C44" s="13">
        <v>120</v>
      </c>
      <c r="D44" s="13">
        <v>106</v>
      </c>
      <c r="E44" s="13">
        <v>88</v>
      </c>
      <c r="F44" s="13">
        <v>73</v>
      </c>
      <c r="G44" s="13">
        <v>66</v>
      </c>
      <c r="H44" s="13">
        <v>53</v>
      </c>
      <c r="I44" s="13">
        <v>32</v>
      </c>
      <c r="J44" s="13"/>
      <c r="K44" s="13"/>
      <c r="L44" s="13"/>
      <c r="M44" s="13"/>
      <c r="N44" s="13"/>
      <c r="O44" s="13"/>
    </row>
    <row r="45" spans="1:15" x14ac:dyDescent="0.35">
      <c r="A45" s="11" t="s">
        <v>395</v>
      </c>
      <c r="B45" s="13">
        <v>2833</v>
      </c>
      <c r="C45" s="13">
        <v>1995</v>
      </c>
      <c r="D45" s="13">
        <v>2069</v>
      </c>
      <c r="E45" s="13">
        <v>1890</v>
      </c>
      <c r="F45" s="13">
        <v>1696</v>
      </c>
      <c r="G45" s="13">
        <v>1607</v>
      </c>
      <c r="H45" s="13">
        <v>1514</v>
      </c>
      <c r="I45" s="13">
        <v>1229</v>
      </c>
      <c r="J45" s="13"/>
      <c r="K45" s="13"/>
      <c r="L45" s="13"/>
      <c r="M45" s="13"/>
      <c r="N45" s="13"/>
      <c r="O45" s="13"/>
    </row>
    <row r="46" spans="1:15" x14ac:dyDescent="0.35">
      <c r="A46" s="11"/>
      <c r="B46" s="13"/>
      <c r="C46" s="13"/>
      <c r="D46" s="13"/>
      <c r="E46" s="13"/>
      <c r="F46" s="13"/>
      <c r="G46" s="13"/>
      <c r="H46" s="13"/>
      <c r="I46" s="13"/>
      <c r="J46" s="13"/>
      <c r="K46" s="13"/>
      <c r="L46" s="13"/>
      <c r="M46" s="13"/>
      <c r="N46" s="13"/>
      <c r="O46" s="13"/>
    </row>
    <row r="47" spans="1:15" x14ac:dyDescent="0.35">
      <c r="A47" s="11"/>
      <c r="B47" s="13"/>
      <c r="C47" s="13"/>
      <c r="D47" s="13"/>
      <c r="E47" s="13"/>
      <c r="F47" s="13"/>
      <c r="G47" s="13"/>
      <c r="H47" s="13"/>
      <c r="I47" s="13"/>
      <c r="J47" s="13"/>
      <c r="K47" s="13"/>
      <c r="L47" s="13"/>
      <c r="M47" s="13"/>
      <c r="N47" s="13"/>
      <c r="O47" s="13"/>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262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8" t="s">
        <v>516</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261</v>
      </c>
      <c r="B6" s="9"/>
      <c r="C6" s="9"/>
      <c r="D6" s="9"/>
      <c r="E6" s="9"/>
      <c r="F6" s="9"/>
      <c r="G6" s="9"/>
      <c r="H6" s="9"/>
      <c r="I6" s="9"/>
      <c r="J6" s="9"/>
      <c r="K6" s="9"/>
      <c r="L6" s="9"/>
      <c r="M6" s="9"/>
      <c r="N6" s="9"/>
      <c r="O6" s="9"/>
    </row>
    <row r="7" spans="1:15" x14ac:dyDescent="0.35">
      <c r="A7" s="11" t="s">
        <v>386</v>
      </c>
      <c r="B7" s="9" t="s">
        <v>391</v>
      </c>
      <c r="C7" s="9" t="s">
        <v>392</v>
      </c>
      <c r="D7" s="9" t="s">
        <v>393</v>
      </c>
      <c r="E7" s="9" t="s">
        <v>394</v>
      </c>
      <c r="F7" s="9"/>
      <c r="G7" s="9"/>
      <c r="H7" s="9"/>
      <c r="I7" s="9"/>
      <c r="J7" s="9"/>
      <c r="K7" s="9"/>
      <c r="L7" s="9"/>
      <c r="M7" s="9"/>
      <c r="N7" s="9"/>
      <c r="O7" s="9"/>
    </row>
    <row r="8" spans="1:15" x14ac:dyDescent="0.35">
      <c r="A8" s="8" t="s">
        <v>517</v>
      </c>
      <c r="B8" s="15">
        <v>0.91</v>
      </c>
      <c r="C8" s="15">
        <v>0.91</v>
      </c>
      <c r="D8" s="15">
        <v>0.87</v>
      </c>
      <c r="E8" s="15">
        <v>0.83</v>
      </c>
      <c r="F8" s="15"/>
      <c r="G8" s="15"/>
      <c r="H8" s="15"/>
      <c r="I8" s="15"/>
      <c r="J8" s="15"/>
      <c r="K8" s="15"/>
      <c r="L8" s="15"/>
      <c r="M8" s="15"/>
      <c r="N8" s="15"/>
      <c r="O8" s="15"/>
    </row>
    <row r="9" spans="1:15" x14ac:dyDescent="0.35">
      <c r="A9" s="11" t="s">
        <v>518</v>
      </c>
      <c r="B9" s="16">
        <v>0.85</v>
      </c>
      <c r="C9" s="16">
        <v>0.8</v>
      </c>
      <c r="D9" s="16">
        <v>0.8</v>
      </c>
      <c r="E9" s="16">
        <v>0.81</v>
      </c>
      <c r="F9" s="16"/>
      <c r="G9" s="16"/>
      <c r="H9" s="16"/>
      <c r="I9" s="16"/>
      <c r="J9" s="16"/>
      <c r="K9" s="16"/>
      <c r="L9" s="16"/>
      <c r="M9" s="16"/>
      <c r="N9" s="16"/>
      <c r="O9" s="16"/>
    </row>
    <row r="10" spans="1:15" x14ac:dyDescent="0.35">
      <c r="A10" s="11" t="s">
        <v>519</v>
      </c>
      <c r="B10" s="16">
        <v>0.67</v>
      </c>
      <c r="C10" s="16">
        <v>0.67</v>
      </c>
      <c r="D10" s="16">
        <v>0.62</v>
      </c>
      <c r="E10" s="16">
        <v>0.56999999999999995</v>
      </c>
      <c r="F10" s="16"/>
      <c r="G10" s="16"/>
      <c r="H10" s="16"/>
      <c r="I10" s="16"/>
      <c r="J10" s="16"/>
      <c r="K10" s="16"/>
      <c r="L10" s="16"/>
      <c r="M10" s="16"/>
      <c r="N10" s="16"/>
      <c r="O10" s="16"/>
    </row>
    <row r="11" spans="1:15" x14ac:dyDescent="0.35">
      <c r="A11" s="11" t="s">
        <v>520</v>
      </c>
      <c r="B11" s="16">
        <v>0.5</v>
      </c>
      <c r="C11" s="16">
        <v>0.51</v>
      </c>
      <c r="D11" s="16">
        <v>0.51</v>
      </c>
      <c r="E11" s="16">
        <v>0.45</v>
      </c>
      <c r="F11" s="16"/>
      <c r="G11" s="16"/>
      <c r="H11" s="16"/>
      <c r="I11" s="16"/>
      <c r="J11" s="16"/>
      <c r="K11" s="16"/>
      <c r="L11" s="16"/>
      <c r="M11" s="16"/>
      <c r="N11" s="16"/>
      <c r="O11" s="16"/>
    </row>
    <row r="12" spans="1:15" x14ac:dyDescent="0.35">
      <c r="A12" s="11" t="s">
        <v>521</v>
      </c>
      <c r="B12" s="16">
        <v>0.39</v>
      </c>
      <c r="C12" s="16">
        <v>0.43</v>
      </c>
      <c r="D12" s="16">
        <v>0.45</v>
      </c>
      <c r="E12" s="16">
        <v>0.46</v>
      </c>
      <c r="F12" s="16"/>
      <c r="G12" s="16"/>
      <c r="H12" s="16"/>
      <c r="I12" s="16"/>
      <c r="J12" s="16"/>
      <c r="K12" s="16"/>
      <c r="L12" s="16"/>
      <c r="M12" s="16"/>
      <c r="N12" s="16"/>
      <c r="O12" s="16"/>
    </row>
    <row r="13" spans="1:15" x14ac:dyDescent="0.35">
      <c r="A13" s="11" t="s">
        <v>395</v>
      </c>
      <c r="B13" s="16">
        <v>0.66</v>
      </c>
      <c r="C13" s="16">
        <v>0.66</v>
      </c>
      <c r="D13" s="16">
        <v>0.65</v>
      </c>
      <c r="E13" s="16">
        <v>0.62</v>
      </c>
      <c r="F13" s="16"/>
      <c r="G13" s="16"/>
      <c r="H13" s="16"/>
      <c r="I13" s="16"/>
      <c r="J13" s="16"/>
      <c r="K13" s="16"/>
      <c r="L13" s="16"/>
      <c r="M13" s="16"/>
      <c r="N13" s="16"/>
      <c r="O13" s="16"/>
    </row>
    <row r="14" spans="1:15" ht="30" customHeight="1" x14ac:dyDescent="0.4">
      <c r="A14" s="5" t="s">
        <v>258</v>
      </c>
      <c r="B14" s="16"/>
      <c r="C14" s="16"/>
      <c r="D14" s="16"/>
      <c r="E14" s="16"/>
      <c r="F14" s="16"/>
      <c r="G14" s="16"/>
      <c r="H14" s="16"/>
      <c r="I14" s="16"/>
      <c r="J14" s="16"/>
      <c r="K14" s="16"/>
      <c r="L14" s="16"/>
      <c r="M14" s="16"/>
      <c r="N14" s="16"/>
      <c r="O14" s="16"/>
    </row>
    <row r="15" spans="1:15" x14ac:dyDescent="0.35">
      <c r="A15" s="11" t="s">
        <v>386</v>
      </c>
      <c r="B15" s="16" t="s">
        <v>391</v>
      </c>
      <c r="C15" s="16" t="s">
        <v>392</v>
      </c>
      <c r="D15" s="16" t="s">
        <v>393</v>
      </c>
      <c r="E15" s="16" t="s">
        <v>394</v>
      </c>
      <c r="F15" s="16"/>
      <c r="G15" s="16"/>
      <c r="H15" s="16"/>
      <c r="I15" s="16"/>
      <c r="J15" s="16"/>
      <c r="K15" s="16"/>
      <c r="L15" s="16"/>
      <c r="M15" s="16"/>
      <c r="N15" s="16"/>
      <c r="O15" s="16"/>
    </row>
    <row r="16" spans="1:15" x14ac:dyDescent="0.35">
      <c r="A16" s="8" t="s">
        <v>517</v>
      </c>
      <c r="B16" s="15">
        <v>0.28000000000000003</v>
      </c>
      <c r="C16" s="15">
        <v>0.27</v>
      </c>
      <c r="D16" s="15">
        <v>0.27</v>
      </c>
      <c r="E16" s="15">
        <v>0.26</v>
      </c>
      <c r="F16" s="15"/>
      <c r="G16" s="15"/>
      <c r="H16" s="15"/>
      <c r="I16" s="15"/>
      <c r="J16" s="15"/>
      <c r="K16" s="15"/>
      <c r="L16" s="15"/>
      <c r="M16" s="15"/>
      <c r="N16" s="15"/>
      <c r="O16" s="15"/>
    </row>
    <row r="17" spans="1:15" x14ac:dyDescent="0.35">
      <c r="A17" s="11" t="s">
        <v>518</v>
      </c>
      <c r="B17" s="16">
        <v>0.26</v>
      </c>
      <c r="C17" s="16">
        <v>0.24</v>
      </c>
      <c r="D17" s="16">
        <v>0.25</v>
      </c>
      <c r="E17" s="16">
        <v>0.26</v>
      </c>
      <c r="F17" s="16"/>
      <c r="G17" s="16"/>
      <c r="H17" s="16"/>
      <c r="I17" s="16"/>
      <c r="J17" s="16"/>
      <c r="K17" s="16"/>
      <c r="L17" s="16"/>
      <c r="M17" s="16"/>
      <c r="N17" s="16"/>
      <c r="O17" s="16"/>
    </row>
    <row r="18" spans="1:15" x14ac:dyDescent="0.35">
      <c r="A18" s="11" t="s">
        <v>519</v>
      </c>
      <c r="B18" s="16">
        <v>0.2</v>
      </c>
      <c r="C18" s="16">
        <v>0.2</v>
      </c>
      <c r="D18" s="16">
        <v>0.19</v>
      </c>
      <c r="E18" s="16">
        <v>0.18</v>
      </c>
      <c r="F18" s="16"/>
      <c r="G18" s="16"/>
      <c r="H18" s="16"/>
      <c r="I18" s="16"/>
      <c r="J18" s="16"/>
      <c r="K18" s="16"/>
      <c r="L18" s="16"/>
      <c r="M18" s="16"/>
      <c r="N18" s="16"/>
      <c r="O18" s="16"/>
    </row>
    <row r="19" spans="1:15" x14ac:dyDescent="0.35">
      <c r="A19" s="11" t="s">
        <v>520</v>
      </c>
      <c r="B19" s="16">
        <v>0.15</v>
      </c>
      <c r="C19" s="16">
        <v>0.15</v>
      </c>
      <c r="D19" s="16">
        <v>0.16</v>
      </c>
      <c r="E19" s="16">
        <v>0.14000000000000001</v>
      </c>
      <c r="F19" s="16"/>
      <c r="G19" s="16"/>
      <c r="H19" s="16"/>
      <c r="I19" s="16"/>
      <c r="J19" s="16"/>
      <c r="K19" s="16"/>
      <c r="L19" s="16"/>
      <c r="M19" s="16"/>
      <c r="N19" s="16"/>
      <c r="O19" s="16"/>
    </row>
    <row r="20" spans="1:15" x14ac:dyDescent="0.35">
      <c r="A20" s="11" t="s">
        <v>521</v>
      </c>
      <c r="B20" s="16">
        <v>0.12</v>
      </c>
      <c r="C20" s="16">
        <v>0.13</v>
      </c>
      <c r="D20" s="16">
        <v>0.14000000000000001</v>
      </c>
      <c r="E20" s="16">
        <v>0.15</v>
      </c>
      <c r="F20" s="16"/>
      <c r="G20" s="16"/>
      <c r="H20" s="16"/>
      <c r="I20" s="16"/>
      <c r="J20" s="16"/>
      <c r="K20" s="16"/>
      <c r="L20" s="16"/>
      <c r="M20" s="16"/>
      <c r="N20" s="16"/>
      <c r="O20" s="16"/>
    </row>
    <row r="21" spans="1:15" x14ac:dyDescent="0.35">
      <c r="A21" s="11" t="s">
        <v>395</v>
      </c>
      <c r="B21" s="16">
        <v>1</v>
      </c>
      <c r="C21" s="16">
        <v>1</v>
      </c>
      <c r="D21" s="16">
        <v>1</v>
      </c>
      <c r="E21" s="16">
        <v>1</v>
      </c>
      <c r="F21" s="16"/>
      <c r="G21" s="16"/>
      <c r="H21" s="16"/>
      <c r="I21" s="16"/>
      <c r="J21" s="16"/>
      <c r="K21" s="16"/>
      <c r="L21" s="16"/>
      <c r="M21" s="16"/>
      <c r="N21" s="16"/>
      <c r="O21" s="16"/>
    </row>
    <row r="22" spans="1:15" ht="30" customHeight="1" x14ac:dyDescent="0.4">
      <c r="A22" s="5" t="s">
        <v>259</v>
      </c>
      <c r="B22" s="16"/>
      <c r="C22" s="16"/>
      <c r="D22" s="16"/>
      <c r="E22" s="16"/>
      <c r="F22" s="16"/>
      <c r="G22" s="16"/>
      <c r="H22" s="16"/>
      <c r="I22" s="16"/>
      <c r="J22" s="16"/>
      <c r="K22" s="16"/>
      <c r="L22" s="16"/>
      <c r="M22" s="16"/>
      <c r="N22" s="16"/>
      <c r="O22" s="16"/>
    </row>
    <row r="23" spans="1:15" x14ac:dyDescent="0.35">
      <c r="A23" s="11" t="s">
        <v>386</v>
      </c>
      <c r="B23" s="16" t="s">
        <v>391</v>
      </c>
      <c r="C23" s="16" t="s">
        <v>392</v>
      </c>
      <c r="D23" s="16" t="s">
        <v>393</v>
      </c>
      <c r="E23" s="16" t="s">
        <v>394</v>
      </c>
      <c r="F23" s="16"/>
      <c r="G23" s="16"/>
      <c r="H23" s="16"/>
      <c r="I23" s="16"/>
      <c r="J23" s="16"/>
      <c r="K23" s="16"/>
      <c r="L23" s="16"/>
      <c r="M23" s="16"/>
      <c r="N23" s="16"/>
      <c r="O23" s="16"/>
    </row>
    <row r="24" spans="1:15" x14ac:dyDescent="0.35">
      <c r="A24" s="8" t="s">
        <v>517</v>
      </c>
      <c r="B24" s="12">
        <v>54</v>
      </c>
      <c r="C24" s="12">
        <v>54</v>
      </c>
      <c r="D24" s="12">
        <v>55</v>
      </c>
      <c r="E24" s="12">
        <v>55</v>
      </c>
      <c r="F24" s="12"/>
      <c r="G24" s="12"/>
      <c r="H24" s="12"/>
      <c r="I24" s="12"/>
      <c r="J24" s="12"/>
      <c r="K24" s="12"/>
      <c r="L24" s="12"/>
      <c r="M24" s="12"/>
      <c r="N24" s="12"/>
      <c r="O24" s="12"/>
    </row>
    <row r="25" spans="1:15" x14ac:dyDescent="0.35">
      <c r="A25" s="11" t="s">
        <v>518</v>
      </c>
      <c r="B25" s="13">
        <v>53</v>
      </c>
      <c r="C25" s="13">
        <v>53</v>
      </c>
      <c r="D25" s="13">
        <v>52</v>
      </c>
      <c r="E25" s="13">
        <v>55</v>
      </c>
      <c r="F25" s="13"/>
      <c r="G25" s="13"/>
      <c r="H25" s="13"/>
      <c r="I25" s="13"/>
      <c r="J25" s="13"/>
      <c r="K25" s="13"/>
      <c r="L25" s="13"/>
      <c r="M25" s="13"/>
      <c r="N25" s="13"/>
      <c r="O25" s="13"/>
    </row>
    <row r="26" spans="1:15" x14ac:dyDescent="0.35">
      <c r="A26" s="11" t="s">
        <v>519</v>
      </c>
      <c r="B26" s="13">
        <v>51.212540447711902</v>
      </c>
      <c r="C26" s="13">
        <v>53</v>
      </c>
      <c r="D26" s="13">
        <v>53</v>
      </c>
      <c r="E26" s="13">
        <v>53</v>
      </c>
      <c r="F26" s="13"/>
      <c r="G26" s="13"/>
      <c r="H26" s="13"/>
      <c r="I26" s="13"/>
      <c r="J26" s="13"/>
      <c r="K26" s="13"/>
      <c r="L26" s="13"/>
      <c r="M26" s="13"/>
      <c r="N26" s="13"/>
      <c r="O26" s="13"/>
    </row>
    <row r="27" spans="1:15" x14ac:dyDescent="0.35">
      <c r="A27" s="11" t="s">
        <v>520</v>
      </c>
      <c r="B27" s="13">
        <v>58</v>
      </c>
      <c r="C27" s="13">
        <v>58</v>
      </c>
      <c r="D27" s="13">
        <v>58</v>
      </c>
      <c r="E27" s="13">
        <v>61</v>
      </c>
      <c r="F27" s="13"/>
      <c r="G27" s="13"/>
      <c r="H27" s="13"/>
      <c r="I27" s="13"/>
      <c r="J27" s="13"/>
      <c r="K27" s="13"/>
      <c r="L27" s="13"/>
      <c r="M27" s="13"/>
      <c r="N27" s="13"/>
      <c r="O27" s="13"/>
    </row>
    <row r="28" spans="1:15" x14ac:dyDescent="0.35">
      <c r="A28" s="11" t="s">
        <v>521</v>
      </c>
      <c r="B28" s="13">
        <v>69</v>
      </c>
      <c r="C28" s="13">
        <v>63</v>
      </c>
      <c r="D28" s="13">
        <v>66</v>
      </c>
      <c r="E28" s="13">
        <v>67</v>
      </c>
      <c r="F28" s="13"/>
      <c r="G28" s="13"/>
      <c r="H28" s="13"/>
      <c r="I28" s="13"/>
      <c r="J28" s="13"/>
      <c r="K28" s="13"/>
      <c r="L28" s="13"/>
      <c r="M28" s="13"/>
      <c r="N28" s="13"/>
      <c r="O28" s="13"/>
    </row>
    <row r="29" spans="1:15" x14ac:dyDescent="0.35">
      <c r="A29" s="11" t="s">
        <v>395</v>
      </c>
      <c r="B29" s="13">
        <v>56</v>
      </c>
      <c r="C29" s="13">
        <v>55</v>
      </c>
      <c r="D29" s="13">
        <v>55</v>
      </c>
      <c r="E29" s="13">
        <v>57</v>
      </c>
      <c r="F29" s="13"/>
      <c r="G29" s="13"/>
      <c r="H29" s="13"/>
      <c r="I29" s="13"/>
      <c r="J29" s="13"/>
      <c r="K29" s="13"/>
      <c r="L29" s="13"/>
      <c r="M29" s="13"/>
      <c r="N29" s="13"/>
      <c r="O29" s="13"/>
    </row>
    <row r="30" spans="1:15" ht="30" customHeight="1" x14ac:dyDescent="0.4">
      <c r="A30" s="5" t="s">
        <v>260</v>
      </c>
      <c r="B30" s="13"/>
      <c r="C30" s="13"/>
      <c r="D30" s="13"/>
      <c r="E30" s="13"/>
      <c r="F30" s="13"/>
      <c r="G30" s="13"/>
      <c r="H30" s="13"/>
      <c r="I30" s="13"/>
      <c r="J30" s="13"/>
      <c r="K30" s="13"/>
      <c r="L30" s="13"/>
      <c r="M30" s="13"/>
      <c r="N30" s="13"/>
      <c r="O30" s="13"/>
    </row>
    <row r="31" spans="1:15" x14ac:dyDescent="0.35">
      <c r="A31" s="11" t="s">
        <v>386</v>
      </c>
      <c r="B31" s="13" t="s">
        <v>391</v>
      </c>
      <c r="C31" s="13" t="s">
        <v>392</v>
      </c>
      <c r="D31" s="13" t="s">
        <v>393</v>
      </c>
      <c r="E31" s="13" t="s">
        <v>394</v>
      </c>
      <c r="F31" s="13"/>
      <c r="G31" s="13"/>
      <c r="H31" s="13"/>
      <c r="I31" s="13"/>
      <c r="J31" s="13"/>
      <c r="K31" s="13"/>
      <c r="L31" s="13"/>
      <c r="M31" s="13"/>
      <c r="N31" s="13"/>
      <c r="O31" s="13"/>
    </row>
    <row r="32" spans="1:15" x14ac:dyDescent="0.35">
      <c r="A32" s="8" t="s">
        <v>517</v>
      </c>
      <c r="B32" s="12">
        <v>391</v>
      </c>
      <c r="C32" s="12">
        <v>378</v>
      </c>
      <c r="D32" s="12">
        <v>356</v>
      </c>
      <c r="E32" s="12">
        <v>292</v>
      </c>
      <c r="F32" s="12"/>
      <c r="G32" s="12"/>
      <c r="H32" s="12"/>
      <c r="I32" s="12"/>
      <c r="J32" s="12"/>
      <c r="K32" s="12"/>
      <c r="L32" s="12"/>
      <c r="M32" s="12"/>
      <c r="N32" s="12"/>
      <c r="O32" s="12"/>
    </row>
    <row r="33" spans="1:15" x14ac:dyDescent="0.35">
      <c r="A33" s="11" t="s">
        <v>518</v>
      </c>
      <c r="B33" s="13">
        <v>349</v>
      </c>
      <c r="C33" s="13">
        <v>290</v>
      </c>
      <c r="D33" s="13">
        <v>291</v>
      </c>
      <c r="E33" s="13">
        <v>249</v>
      </c>
      <c r="F33" s="13"/>
      <c r="G33" s="13"/>
      <c r="H33" s="13"/>
      <c r="I33" s="13"/>
      <c r="J33" s="13"/>
      <c r="K33" s="13"/>
      <c r="L33" s="13"/>
      <c r="M33" s="13"/>
      <c r="N33" s="13"/>
      <c r="O33" s="13"/>
    </row>
    <row r="34" spans="1:15" x14ac:dyDescent="0.35">
      <c r="A34" s="11" t="s">
        <v>519</v>
      </c>
      <c r="B34" s="13">
        <v>315</v>
      </c>
      <c r="C34" s="13">
        <v>328</v>
      </c>
      <c r="D34" s="13">
        <v>293</v>
      </c>
      <c r="E34" s="13">
        <v>206</v>
      </c>
      <c r="F34" s="13"/>
      <c r="G34" s="13"/>
      <c r="H34" s="13"/>
      <c r="I34" s="13"/>
      <c r="J34" s="13"/>
      <c r="K34" s="13"/>
      <c r="L34" s="13"/>
      <c r="M34" s="13"/>
      <c r="N34" s="13"/>
      <c r="O34" s="13"/>
    </row>
    <row r="35" spans="1:15" x14ac:dyDescent="0.35">
      <c r="A35" s="11" t="s">
        <v>520</v>
      </c>
      <c r="B35" s="13">
        <v>316</v>
      </c>
      <c r="C35" s="13">
        <v>299</v>
      </c>
      <c r="D35" s="13">
        <v>293</v>
      </c>
      <c r="E35" s="13">
        <v>237</v>
      </c>
      <c r="F35" s="13"/>
      <c r="G35" s="13"/>
      <c r="H35" s="13"/>
      <c r="I35" s="13"/>
      <c r="J35" s="13"/>
      <c r="K35" s="13"/>
      <c r="L35" s="13"/>
      <c r="M35" s="13"/>
      <c r="N35" s="13"/>
      <c r="O35" s="13"/>
    </row>
    <row r="36" spans="1:15" x14ac:dyDescent="0.35">
      <c r="A36" s="11" t="s">
        <v>521</v>
      </c>
      <c r="B36" s="13">
        <v>325</v>
      </c>
      <c r="C36" s="13">
        <v>312</v>
      </c>
      <c r="D36" s="13">
        <v>281</v>
      </c>
      <c r="E36" s="13">
        <v>245</v>
      </c>
      <c r="F36" s="13"/>
      <c r="G36" s="13"/>
      <c r="H36" s="13"/>
      <c r="I36" s="13"/>
      <c r="J36" s="13"/>
      <c r="K36" s="13"/>
      <c r="L36" s="13"/>
      <c r="M36" s="13"/>
      <c r="N36" s="13"/>
      <c r="O36" s="13"/>
    </row>
    <row r="37" spans="1:15" x14ac:dyDescent="0.35">
      <c r="A37" s="11" t="s">
        <v>395</v>
      </c>
      <c r="B37" s="13">
        <v>1696</v>
      </c>
      <c r="C37" s="13">
        <v>1607</v>
      </c>
      <c r="D37" s="13">
        <v>1514</v>
      </c>
      <c r="E37" s="13">
        <v>1229</v>
      </c>
      <c r="F37" s="13"/>
      <c r="G37" s="13"/>
      <c r="H37" s="13"/>
      <c r="I37" s="13"/>
      <c r="J37" s="13"/>
      <c r="K37" s="13"/>
      <c r="L37" s="13"/>
      <c r="M37" s="13"/>
      <c r="N37" s="13"/>
      <c r="O37" s="13"/>
    </row>
    <row r="38" spans="1:15" x14ac:dyDescent="0.35">
      <c r="A38" s="11"/>
      <c r="B38" s="13"/>
      <c r="C38" s="13"/>
      <c r="D38" s="13"/>
      <c r="E38" s="13"/>
      <c r="F38" s="13"/>
      <c r="G38" s="13"/>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267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8" t="s">
        <v>553</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266</v>
      </c>
      <c r="B6" s="9"/>
      <c r="C6" s="9"/>
      <c r="D6" s="9"/>
      <c r="E6" s="9"/>
      <c r="F6" s="9"/>
      <c r="G6" s="9"/>
      <c r="H6" s="9"/>
      <c r="I6" s="9"/>
      <c r="J6" s="9"/>
      <c r="K6" s="9"/>
      <c r="L6" s="9"/>
      <c r="M6" s="9"/>
      <c r="N6" s="9"/>
      <c r="O6" s="9"/>
    </row>
    <row r="7" spans="1:15" x14ac:dyDescent="0.35">
      <c r="A7" s="11" t="s">
        <v>386</v>
      </c>
      <c r="B7" s="9" t="s">
        <v>390</v>
      </c>
      <c r="C7" s="9" t="s">
        <v>391</v>
      </c>
      <c r="D7" s="9" t="s">
        <v>392</v>
      </c>
      <c r="E7" s="9" t="s">
        <v>393</v>
      </c>
      <c r="F7" s="9" t="s">
        <v>394</v>
      </c>
      <c r="G7" s="9"/>
      <c r="H7" s="9"/>
      <c r="I7" s="9"/>
      <c r="J7" s="9"/>
      <c r="K7" s="9"/>
      <c r="L7" s="9"/>
      <c r="M7" s="9"/>
      <c r="N7" s="9"/>
      <c r="O7" s="9"/>
    </row>
    <row r="8" spans="1:15" x14ac:dyDescent="0.35">
      <c r="A8" s="8" t="s">
        <v>483</v>
      </c>
      <c r="B8" s="15">
        <v>0.82</v>
      </c>
      <c r="C8" s="15">
        <v>0.88</v>
      </c>
      <c r="D8" s="15">
        <v>0.76</v>
      </c>
      <c r="E8" s="15">
        <v>0.78</v>
      </c>
      <c r="F8" s="15">
        <v>0.65</v>
      </c>
      <c r="G8" s="15"/>
      <c r="H8" s="15"/>
      <c r="I8" s="15"/>
      <c r="J8" s="15"/>
      <c r="K8" s="15"/>
      <c r="L8" s="15"/>
      <c r="M8" s="15"/>
      <c r="N8" s="15"/>
      <c r="O8" s="15"/>
    </row>
    <row r="9" spans="1:15" x14ac:dyDescent="0.35">
      <c r="A9" s="11" t="s">
        <v>484</v>
      </c>
      <c r="B9" s="16">
        <v>0.75</v>
      </c>
      <c r="C9" s="16">
        <v>0.74</v>
      </c>
      <c r="D9" s="16">
        <v>0.71</v>
      </c>
      <c r="E9" s="16">
        <v>0.68</v>
      </c>
      <c r="F9" s="16">
        <v>0.7</v>
      </c>
      <c r="G9" s="16"/>
      <c r="H9" s="16"/>
      <c r="I9" s="16"/>
      <c r="J9" s="16"/>
      <c r="K9" s="16"/>
      <c r="L9" s="16"/>
      <c r="M9" s="16"/>
      <c r="N9" s="16"/>
      <c r="O9" s="16"/>
    </row>
    <row r="10" spans="1:15" x14ac:dyDescent="0.35">
      <c r="A10" s="11" t="s">
        <v>482</v>
      </c>
      <c r="B10" s="16">
        <v>0.65</v>
      </c>
      <c r="C10" s="16">
        <v>0.67</v>
      </c>
      <c r="D10" s="16">
        <v>0.74</v>
      </c>
      <c r="E10" s="16">
        <v>0.72</v>
      </c>
      <c r="F10" s="16">
        <v>0.67</v>
      </c>
      <c r="G10" s="16"/>
      <c r="H10" s="16"/>
      <c r="I10" s="16"/>
      <c r="J10" s="16"/>
      <c r="K10" s="16"/>
      <c r="L10" s="16"/>
      <c r="M10" s="16"/>
      <c r="N10" s="16"/>
      <c r="O10" s="16"/>
    </row>
    <row r="11" spans="1:15" x14ac:dyDescent="0.35">
      <c r="A11" s="11" t="s">
        <v>554</v>
      </c>
      <c r="B11" s="16">
        <v>0.23</v>
      </c>
      <c r="C11" s="16">
        <v>0.22</v>
      </c>
      <c r="D11" s="16">
        <v>0.23</v>
      </c>
      <c r="E11" s="16">
        <v>0.26</v>
      </c>
      <c r="F11" s="16">
        <v>0.18</v>
      </c>
      <c r="G11" s="16"/>
      <c r="H11" s="16"/>
      <c r="I11" s="16"/>
      <c r="J11" s="16"/>
      <c r="K11" s="16"/>
      <c r="L11" s="16"/>
      <c r="M11" s="16"/>
      <c r="N11" s="16"/>
      <c r="O11" s="16"/>
    </row>
    <row r="12" spans="1:15" x14ac:dyDescent="0.35">
      <c r="A12" s="11" t="s">
        <v>395</v>
      </c>
      <c r="B12" s="16">
        <v>0.66</v>
      </c>
      <c r="C12" s="16">
        <v>0.66</v>
      </c>
      <c r="D12" s="16">
        <v>0.66</v>
      </c>
      <c r="E12" s="16">
        <v>0.65</v>
      </c>
      <c r="F12" s="16">
        <v>0.62</v>
      </c>
      <c r="G12" s="16"/>
      <c r="H12" s="16"/>
      <c r="I12" s="16"/>
      <c r="J12" s="16"/>
      <c r="K12" s="16"/>
      <c r="L12" s="16"/>
      <c r="M12" s="16"/>
      <c r="N12" s="16"/>
      <c r="O12" s="16"/>
    </row>
    <row r="13" spans="1:15" ht="30" customHeight="1" x14ac:dyDescent="0.4">
      <c r="A13" s="5" t="s">
        <v>263</v>
      </c>
      <c r="B13" s="16"/>
      <c r="C13" s="16"/>
      <c r="D13" s="16"/>
      <c r="E13" s="16"/>
      <c r="F13" s="16"/>
      <c r="G13" s="16"/>
      <c r="H13" s="16"/>
      <c r="I13" s="16"/>
      <c r="J13" s="16"/>
      <c r="K13" s="16"/>
      <c r="L13" s="16"/>
      <c r="M13" s="16"/>
      <c r="N13" s="16"/>
      <c r="O13" s="16"/>
    </row>
    <row r="14" spans="1:15" x14ac:dyDescent="0.35">
      <c r="A14" s="11" t="s">
        <v>386</v>
      </c>
      <c r="B14" s="16" t="s">
        <v>390</v>
      </c>
      <c r="C14" s="16" t="s">
        <v>391</v>
      </c>
      <c r="D14" s="16" t="s">
        <v>392</v>
      </c>
      <c r="E14" s="16" t="s">
        <v>393</v>
      </c>
      <c r="F14" s="16" t="s">
        <v>394</v>
      </c>
      <c r="G14" s="16"/>
      <c r="H14" s="16"/>
      <c r="I14" s="16"/>
      <c r="J14" s="16"/>
      <c r="K14" s="16"/>
      <c r="L14" s="16"/>
      <c r="M14" s="16"/>
      <c r="N14" s="16"/>
      <c r="O14" s="16"/>
    </row>
    <row r="15" spans="1:15" x14ac:dyDescent="0.35">
      <c r="A15" s="8" t="s">
        <v>483</v>
      </c>
      <c r="B15" s="15">
        <v>0.08</v>
      </c>
      <c r="C15" s="15">
        <v>7.0000000000000007E-2</v>
      </c>
      <c r="D15" s="15">
        <v>7.0000000000000007E-2</v>
      </c>
      <c r="E15" s="15">
        <v>0.08</v>
      </c>
      <c r="F15" s="15">
        <v>0.08</v>
      </c>
      <c r="G15" s="15"/>
      <c r="H15" s="15"/>
      <c r="I15" s="15"/>
      <c r="J15" s="15"/>
      <c r="K15" s="15"/>
      <c r="L15" s="15"/>
      <c r="M15" s="15"/>
      <c r="N15" s="15"/>
      <c r="O15" s="15"/>
    </row>
    <row r="16" spans="1:15" x14ac:dyDescent="0.35">
      <c r="A16" s="11" t="s">
        <v>484</v>
      </c>
      <c r="B16" s="16">
        <v>0.55000000000000004</v>
      </c>
      <c r="C16" s="16">
        <v>0.55000000000000004</v>
      </c>
      <c r="D16" s="16">
        <v>0.56000000000000005</v>
      </c>
      <c r="E16" s="16">
        <v>0.55000000000000004</v>
      </c>
      <c r="F16" s="16">
        <v>0.54</v>
      </c>
      <c r="G16" s="16"/>
      <c r="H16" s="16"/>
      <c r="I16" s="16"/>
      <c r="J16" s="16"/>
      <c r="K16" s="16"/>
      <c r="L16" s="16"/>
      <c r="M16" s="16"/>
      <c r="N16" s="16"/>
      <c r="O16" s="16"/>
    </row>
    <row r="17" spans="1:15" x14ac:dyDescent="0.35">
      <c r="A17" s="11" t="s">
        <v>482</v>
      </c>
      <c r="B17" s="16">
        <v>0.32</v>
      </c>
      <c r="C17" s="16">
        <v>0.35</v>
      </c>
      <c r="D17" s="16">
        <v>0.33</v>
      </c>
      <c r="E17" s="16">
        <v>0.33</v>
      </c>
      <c r="F17" s="16">
        <v>0.35</v>
      </c>
      <c r="G17" s="16"/>
      <c r="H17" s="16"/>
      <c r="I17" s="16"/>
      <c r="J17" s="16"/>
      <c r="K17" s="16"/>
      <c r="L17" s="16"/>
      <c r="M17" s="16"/>
      <c r="N17" s="16"/>
      <c r="O17" s="16"/>
    </row>
    <row r="18" spans="1:15" x14ac:dyDescent="0.35">
      <c r="A18" s="11" t="s">
        <v>554</v>
      </c>
      <c r="B18" s="16">
        <v>0.04</v>
      </c>
      <c r="C18" s="16">
        <v>0.04</v>
      </c>
      <c r="D18" s="16">
        <v>0.04</v>
      </c>
      <c r="E18" s="16">
        <v>0.05</v>
      </c>
      <c r="F18" s="16">
        <v>0.04</v>
      </c>
      <c r="G18" s="16"/>
      <c r="H18" s="16"/>
      <c r="I18" s="16"/>
      <c r="J18" s="16"/>
      <c r="K18" s="16"/>
      <c r="L18" s="16"/>
      <c r="M18" s="16"/>
      <c r="N18" s="16"/>
      <c r="O18" s="16"/>
    </row>
    <row r="19" spans="1:15" x14ac:dyDescent="0.35">
      <c r="A19" s="11" t="s">
        <v>395</v>
      </c>
      <c r="B19" s="16">
        <v>1</v>
      </c>
      <c r="C19" s="16">
        <v>1</v>
      </c>
      <c r="D19" s="16">
        <v>1</v>
      </c>
      <c r="E19" s="16">
        <v>1</v>
      </c>
      <c r="F19" s="16">
        <v>1</v>
      </c>
      <c r="G19" s="16"/>
      <c r="H19" s="16"/>
      <c r="I19" s="16"/>
      <c r="J19" s="16"/>
      <c r="K19" s="16"/>
      <c r="L19" s="16"/>
      <c r="M19" s="16"/>
      <c r="N19" s="16"/>
      <c r="O19" s="16"/>
    </row>
    <row r="20" spans="1:15" ht="30" customHeight="1" x14ac:dyDescent="0.4">
      <c r="A20" s="5" t="s">
        <v>264</v>
      </c>
      <c r="B20" s="16"/>
      <c r="C20" s="16"/>
      <c r="D20" s="16"/>
      <c r="E20" s="16"/>
      <c r="F20" s="16"/>
      <c r="G20" s="16"/>
      <c r="H20" s="16"/>
      <c r="I20" s="16"/>
      <c r="J20" s="16"/>
      <c r="K20" s="16"/>
      <c r="L20" s="16"/>
      <c r="M20" s="16"/>
      <c r="N20" s="16"/>
      <c r="O20" s="16"/>
    </row>
    <row r="21" spans="1:15" x14ac:dyDescent="0.35">
      <c r="A21" s="11" t="s">
        <v>386</v>
      </c>
      <c r="B21" s="16" t="s">
        <v>390</v>
      </c>
      <c r="C21" s="16" t="s">
        <v>391</v>
      </c>
      <c r="D21" s="16" t="s">
        <v>392</v>
      </c>
      <c r="E21" s="16" t="s">
        <v>393</v>
      </c>
      <c r="F21" s="16" t="s">
        <v>394</v>
      </c>
      <c r="G21" s="16"/>
      <c r="H21" s="16"/>
      <c r="I21" s="16"/>
      <c r="J21" s="16"/>
      <c r="K21" s="16"/>
      <c r="L21" s="16"/>
      <c r="M21" s="16"/>
      <c r="N21" s="16"/>
      <c r="O21" s="16"/>
    </row>
    <row r="22" spans="1:15" x14ac:dyDescent="0.35">
      <c r="A22" s="8" t="s">
        <v>483</v>
      </c>
      <c r="B22" s="12">
        <v>54</v>
      </c>
      <c r="C22" s="12">
        <v>51</v>
      </c>
      <c r="D22" s="12">
        <v>54</v>
      </c>
      <c r="E22" s="12">
        <v>52</v>
      </c>
      <c r="F22" s="12">
        <v>55</v>
      </c>
      <c r="G22" s="12"/>
      <c r="H22" s="12"/>
      <c r="I22" s="12"/>
      <c r="J22" s="12"/>
      <c r="K22" s="12"/>
      <c r="L22" s="12"/>
      <c r="M22" s="12"/>
      <c r="N22" s="12"/>
      <c r="O22" s="12"/>
    </row>
    <row r="23" spans="1:15" x14ac:dyDescent="0.35">
      <c r="A23" s="11" t="s">
        <v>484</v>
      </c>
      <c r="B23" s="13">
        <v>47</v>
      </c>
      <c r="C23" s="13">
        <v>47</v>
      </c>
      <c r="D23" s="13">
        <v>46</v>
      </c>
      <c r="E23" s="13">
        <v>47</v>
      </c>
      <c r="F23" s="13">
        <v>48</v>
      </c>
      <c r="G23" s="13"/>
      <c r="H23" s="13"/>
      <c r="I23" s="13"/>
      <c r="J23" s="13"/>
      <c r="K23" s="13"/>
      <c r="L23" s="13"/>
      <c r="M23" s="13"/>
      <c r="N23" s="13"/>
      <c r="O23" s="13"/>
    </row>
    <row r="24" spans="1:15" x14ac:dyDescent="0.35">
      <c r="A24" s="11" t="s">
        <v>482</v>
      </c>
      <c r="B24" s="13">
        <v>73</v>
      </c>
      <c r="C24" s="13">
        <v>73</v>
      </c>
      <c r="D24" s="13">
        <v>72</v>
      </c>
      <c r="E24" s="13">
        <v>74</v>
      </c>
      <c r="F24" s="13">
        <v>73</v>
      </c>
      <c r="G24" s="13"/>
      <c r="H24" s="13"/>
      <c r="I24" s="13"/>
      <c r="J24" s="13"/>
      <c r="K24" s="13"/>
      <c r="L24" s="13"/>
      <c r="M24" s="13"/>
      <c r="N24" s="13"/>
      <c r="O24" s="13"/>
    </row>
    <row r="25" spans="1:15" x14ac:dyDescent="0.35">
      <c r="A25" s="11" t="s">
        <v>554</v>
      </c>
      <c r="B25" s="13">
        <v>52</v>
      </c>
      <c r="C25" s="13">
        <v>58</v>
      </c>
      <c r="D25" s="13">
        <v>54</v>
      </c>
      <c r="E25" s="13">
        <v>56</v>
      </c>
      <c r="F25" s="13">
        <v>58</v>
      </c>
      <c r="G25" s="13"/>
      <c r="H25" s="13"/>
      <c r="I25" s="13"/>
      <c r="J25" s="13"/>
      <c r="K25" s="13"/>
      <c r="L25" s="13"/>
      <c r="M25" s="13"/>
      <c r="N25" s="13"/>
      <c r="O25" s="13"/>
    </row>
    <row r="26" spans="1:15" x14ac:dyDescent="0.35">
      <c r="A26" s="11" t="s">
        <v>395</v>
      </c>
      <c r="B26" s="13">
        <v>55</v>
      </c>
      <c r="C26" s="13">
        <v>56</v>
      </c>
      <c r="D26" s="13">
        <v>55</v>
      </c>
      <c r="E26" s="13">
        <v>55</v>
      </c>
      <c r="F26" s="13">
        <v>57</v>
      </c>
      <c r="G26" s="13"/>
      <c r="H26" s="13"/>
      <c r="I26" s="13"/>
      <c r="J26" s="13"/>
      <c r="K26" s="13"/>
      <c r="L26" s="13"/>
      <c r="M26" s="13"/>
      <c r="N26" s="13"/>
      <c r="O26" s="13"/>
    </row>
    <row r="27" spans="1:15" ht="30" customHeight="1" x14ac:dyDescent="0.4">
      <c r="A27" s="5" t="s">
        <v>265</v>
      </c>
      <c r="B27" s="13"/>
      <c r="C27" s="13"/>
      <c r="D27" s="13"/>
      <c r="E27" s="13"/>
      <c r="F27" s="13"/>
      <c r="G27" s="13"/>
      <c r="H27" s="13"/>
      <c r="I27" s="13"/>
      <c r="J27" s="13"/>
      <c r="K27" s="13"/>
      <c r="L27" s="13"/>
      <c r="M27" s="13"/>
      <c r="N27" s="13"/>
      <c r="O27" s="13"/>
    </row>
    <row r="28" spans="1:15" x14ac:dyDescent="0.35">
      <c r="A28" s="11" t="s">
        <v>386</v>
      </c>
      <c r="B28" s="13" t="s">
        <v>390</v>
      </c>
      <c r="C28" s="13" t="s">
        <v>391</v>
      </c>
      <c r="D28" s="13" t="s">
        <v>392</v>
      </c>
      <c r="E28" s="13" t="s">
        <v>393</v>
      </c>
      <c r="F28" s="13" t="s">
        <v>394</v>
      </c>
      <c r="G28" s="13"/>
      <c r="H28" s="13"/>
      <c r="I28" s="13"/>
      <c r="J28" s="13"/>
      <c r="K28" s="13"/>
      <c r="L28" s="13"/>
      <c r="M28" s="13"/>
      <c r="N28" s="13"/>
      <c r="O28" s="13"/>
    </row>
    <row r="29" spans="1:15" x14ac:dyDescent="0.35">
      <c r="A29" s="8" t="s">
        <v>483</v>
      </c>
      <c r="B29" s="12">
        <v>131</v>
      </c>
      <c r="C29" s="12">
        <v>103</v>
      </c>
      <c r="D29" s="12">
        <v>114</v>
      </c>
      <c r="E29" s="12">
        <v>109</v>
      </c>
      <c r="F29" s="12">
        <v>90</v>
      </c>
      <c r="G29" s="12"/>
      <c r="H29" s="12"/>
      <c r="I29" s="12"/>
      <c r="J29" s="12"/>
      <c r="K29" s="12"/>
      <c r="L29" s="12"/>
      <c r="M29" s="12"/>
      <c r="N29" s="12"/>
      <c r="O29" s="12"/>
    </row>
    <row r="30" spans="1:15" x14ac:dyDescent="0.35">
      <c r="A30" s="11" t="s">
        <v>484</v>
      </c>
      <c r="B30" s="13">
        <v>816</v>
      </c>
      <c r="C30" s="13">
        <v>728</v>
      </c>
      <c r="D30" s="13">
        <v>689</v>
      </c>
      <c r="E30" s="13">
        <v>630</v>
      </c>
      <c r="F30" s="13">
        <v>482</v>
      </c>
      <c r="G30" s="13"/>
      <c r="H30" s="13"/>
      <c r="I30" s="13"/>
      <c r="J30" s="13"/>
      <c r="K30" s="13"/>
      <c r="L30" s="13"/>
      <c r="M30" s="13"/>
      <c r="N30" s="13"/>
      <c r="O30" s="13"/>
    </row>
    <row r="31" spans="1:15" x14ac:dyDescent="0.35">
      <c r="A31" s="11" t="s">
        <v>482</v>
      </c>
      <c r="B31" s="13">
        <v>766</v>
      </c>
      <c r="C31" s="13">
        <v>709</v>
      </c>
      <c r="D31" s="13">
        <v>641</v>
      </c>
      <c r="E31" s="13">
        <v>639</v>
      </c>
      <c r="F31" s="13">
        <v>548</v>
      </c>
      <c r="G31" s="13"/>
      <c r="H31" s="13"/>
      <c r="I31" s="13"/>
      <c r="J31" s="13"/>
      <c r="K31" s="13"/>
      <c r="L31" s="13"/>
      <c r="M31" s="13"/>
      <c r="N31" s="13"/>
      <c r="O31" s="13"/>
    </row>
    <row r="32" spans="1:15" x14ac:dyDescent="0.35">
      <c r="A32" s="11" t="s">
        <v>554</v>
      </c>
      <c r="B32" s="13">
        <v>177</v>
      </c>
      <c r="C32" s="13">
        <v>156</v>
      </c>
      <c r="D32" s="13">
        <v>163</v>
      </c>
      <c r="E32" s="13">
        <v>136</v>
      </c>
      <c r="F32" s="13">
        <v>109</v>
      </c>
      <c r="G32" s="13"/>
      <c r="H32" s="13"/>
      <c r="I32" s="13"/>
      <c r="J32" s="13"/>
      <c r="K32" s="13"/>
      <c r="L32" s="13"/>
      <c r="M32" s="13"/>
      <c r="N32" s="13"/>
      <c r="O32" s="13"/>
    </row>
    <row r="33" spans="1:15" x14ac:dyDescent="0.35">
      <c r="A33" s="11" t="s">
        <v>395</v>
      </c>
      <c r="B33" s="13">
        <v>1890</v>
      </c>
      <c r="C33" s="13">
        <v>1696</v>
      </c>
      <c r="D33" s="13">
        <v>1607</v>
      </c>
      <c r="E33" s="13">
        <v>1514</v>
      </c>
      <c r="F33" s="13">
        <v>1229</v>
      </c>
      <c r="G33" s="13"/>
      <c r="H33" s="13"/>
      <c r="I33" s="13"/>
      <c r="J33" s="13"/>
      <c r="K33" s="13"/>
      <c r="L33" s="13"/>
      <c r="M33" s="13"/>
      <c r="N33" s="13"/>
      <c r="O33" s="13"/>
    </row>
    <row r="34" spans="1:15" x14ac:dyDescent="0.35">
      <c r="A34" s="11"/>
      <c r="B34" s="13"/>
      <c r="C34" s="13"/>
      <c r="D34" s="13"/>
      <c r="E34" s="13"/>
      <c r="F34" s="13"/>
      <c r="G34" s="13"/>
      <c r="H34" s="13"/>
      <c r="I34" s="13"/>
      <c r="J34" s="13"/>
      <c r="K34" s="13"/>
      <c r="L34" s="13"/>
      <c r="M34" s="13"/>
      <c r="N34" s="13"/>
      <c r="O34" s="13"/>
    </row>
    <row r="35" spans="1:15" x14ac:dyDescent="0.35">
      <c r="A35" s="11"/>
      <c r="B35" s="13"/>
      <c r="C35" s="13"/>
      <c r="D35" s="13"/>
      <c r="E35" s="13"/>
      <c r="F35" s="13"/>
      <c r="G35" s="13"/>
      <c r="H35" s="13"/>
      <c r="I35" s="13"/>
      <c r="J35" s="13"/>
      <c r="K35" s="13"/>
      <c r="L35" s="13"/>
      <c r="M35" s="13"/>
      <c r="N35" s="13"/>
      <c r="O35" s="13"/>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272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271</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489</v>
      </c>
      <c r="B7" s="15">
        <v>0.83</v>
      </c>
      <c r="C7" s="15">
        <v>0.82</v>
      </c>
      <c r="D7" s="15">
        <v>0.83</v>
      </c>
      <c r="E7" s="15">
        <v>0.88</v>
      </c>
      <c r="F7" s="15">
        <v>0.86</v>
      </c>
      <c r="G7" s="15">
        <v>0.8</v>
      </c>
      <c r="H7" s="15">
        <v>0.83</v>
      </c>
      <c r="I7" s="15">
        <v>0.79</v>
      </c>
      <c r="J7" s="15"/>
      <c r="K7" s="15"/>
      <c r="L7" s="15"/>
      <c r="M7" s="15"/>
      <c r="N7" s="15"/>
      <c r="O7" s="15"/>
    </row>
    <row r="8" spans="1:15" x14ac:dyDescent="0.35">
      <c r="A8" s="11" t="s">
        <v>490</v>
      </c>
      <c r="B8" s="16">
        <v>0.69</v>
      </c>
      <c r="C8" s="16">
        <v>0.69</v>
      </c>
      <c r="D8" s="16">
        <v>0.7</v>
      </c>
      <c r="E8" s="16">
        <v>0.68</v>
      </c>
      <c r="F8" s="16">
        <v>0.66</v>
      </c>
      <c r="G8" s="16">
        <v>0.66</v>
      </c>
      <c r="H8" s="16">
        <v>0.62</v>
      </c>
      <c r="I8" s="16">
        <v>0.59</v>
      </c>
      <c r="J8" s="16"/>
      <c r="K8" s="16"/>
      <c r="L8" s="16"/>
      <c r="M8" s="16"/>
      <c r="N8" s="16"/>
      <c r="O8" s="16"/>
    </row>
    <row r="9" spans="1:15" x14ac:dyDescent="0.35">
      <c r="A9" s="11" t="s">
        <v>491</v>
      </c>
      <c r="B9" s="16">
        <v>0.45</v>
      </c>
      <c r="C9" s="16">
        <v>0.45</v>
      </c>
      <c r="D9" s="16">
        <v>0.48</v>
      </c>
      <c r="E9" s="16">
        <v>0.41</v>
      </c>
      <c r="F9" s="16">
        <v>0.43</v>
      </c>
      <c r="G9" s="16">
        <v>0.43</v>
      </c>
      <c r="H9" s="16">
        <v>0.39</v>
      </c>
      <c r="I9" s="16">
        <v>0.3</v>
      </c>
      <c r="J9" s="16"/>
      <c r="K9" s="16"/>
      <c r="L9" s="16"/>
      <c r="M9" s="16"/>
      <c r="N9" s="16"/>
      <c r="O9" s="16"/>
    </row>
    <row r="10" spans="1:15" x14ac:dyDescent="0.35">
      <c r="A10" s="11" t="s">
        <v>395</v>
      </c>
      <c r="B10" s="16">
        <v>0.66</v>
      </c>
      <c r="C10" s="16">
        <v>0.66</v>
      </c>
      <c r="D10" s="16">
        <v>0.66</v>
      </c>
      <c r="E10" s="16">
        <v>0.66</v>
      </c>
      <c r="F10" s="16">
        <v>0.66</v>
      </c>
      <c r="G10" s="16">
        <v>0.66</v>
      </c>
      <c r="H10" s="16">
        <v>0.65</v>
      </c>
      <c r="I10" s="16">
        <v>0.62</v>
      </c>
      <c r="J10" s="16"/>
      <c r="K10" s="16"/>
      <c r="L10" s="16"/>
      <c r="M10" s="16"/>
      <c r="N10" s="16"/>
      <c r="O10" s="16"/>
    </row>
    <row r="11" spans="1:15" ht="30" customHeight="1" x14ac:dyDescent="0.4">
      <c r="A11" s="5" t="s">
        <v>268</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489</v>
      </c>
      <c r="B13" s="15">
        <v>0.26</v>
      </c>
      <c r="C13" s="15">
        <v>0.28000000000000003</v>
      </c>
      <c r="D13" s="15">
        <v>0.28999999999999998</v>
      </c>
      <c r="E13" s="15">
        <v>0.33</v>
      </c>
      <c r="F13" s="15">
        <v>0.36</v>
      </c>
      <c r="G13" s="15">
        <v>0.37</v>
      </c>
      <c r="H13" s="15">
        <v>0.42</v>
      </c>
      <c r="I13" s="15">
        <v>0.44</v>
      </c>
      <c r="J13" s="15"/>
      <c r="K13" s="15"/>
      <c r="L13" s="15"/>
      <c r="M13" s="15"/>
      <c r="N13" s="15"/>
      <c r="O13" s="15"/>
    </row>
    <row r="14" spans="1:15" x14ac:dyDescent="0.35">
      <c r="A14" s="11" t="s">
        <v>490</v>
      </c>
      <c r="B14" s="16">
        <v>0.57999999999999996</v>
      </c>
      <c r="C14" s="16">
        <v>0.56000000000000005</v>
      </c>
      <c r="D14" s="16">
        <v>0.5</v>
      </c>
      <c r="E14" s="16">
        <v>0.52</v>
      </c>
      <c r="F14" s="16">
        <v>0.5</v>
      </c>
      <c r="G14" s="16">
        <v>0.51</v>
      </c>
      <c r="H14" s="16">
        <v>0.49</v>
      </c>
      <c r="I14" s="16">
        <v>0.5</v>
      </c>
      <c r="J14" s="16"/>
      <c r="K14" s="16"/>
      <c r="L14" s="16"/>
      <c r="M14" s="16"/>
      <c r="N14" s="16"/>
      <c r="O14" s="16"/>
    </row>
    <row r="15" spans="1:15" x14ac:dyDescent="0.35">
      <c r="A15" s="11" t="s">
        <v>491</v>
      </c>
      <c r="B15" s="16">
        <v>0.16</v>
      </c>
      <c r="C15" s="16">
        <v>0.16</v>
      </c>
      <c r="D15" s="16">
        <v>0.22</v>
      </c>
      <c r="E15" s="16">
        <v>0.15</v>
      </c>
      <c r="F15" s="16">
        <v>0.14000000000000001</v>
      </c>
      <c r="G15" s="16">
        <v>0.12</v>
      </c>
      <c r="H15" s="16">
        <v>0.09</v>
      </c>
      <c r="I15" s="16">
        <v>0.06</v>
      </c>
      <c r="J15" s="16"/>
      <c r="K15" s="16"/>
      <c r="L15" s="16"/>
      <c r="M15" s="16"/>
      <c r="N15" s="16"/>
      <c r="O15" s="16"/>
    </row>
    <row r="16" spans="1:15" x14ac:dyDescent="0.35">
      <c r="A16" s="11" t="s">
        <v>395</v>
      </c>
      <c r="B16" s="16">
        <v>1</v>
      </c>
      <c r="C16" s="16">
        <v>1</v>
      </c>
      <c r="D16" s="16">
        <v>1</v>
      </c>
      <c r="E16" s="16">
        <v>1</v>
      </c>
      <c r="F16" s="16">
        <v>1</v>
      </c>
      <c r="G16" s="16">
        <v>1</v>
      </c>
      <c r="H16" s="16">
        <v>1</v>
      </c>
      <c r="I16" s="16">
        <v>1</v>
      </c>
      <c r="J16" s="16"/>
      <c r="K16" s="16"/>
      <c r="L16" s="16"/>
      <c r="M16" s="16"/>
      <c r="N16" s="16"/>
      <c r="O16" s="16"/>
    </row>
    <row r="17" spans="1:15" ht="30" customHeight="1" x14ac:dyDescent="0.4">
      <c r="A17" s="5" t="s">
        <v>269</v>
      </c>
      <c r="B17" s="16"/>
      <c r="C17" s="16"/>
      <c r="D17" s="16"/>
      <c r="E17" s="16"/>
      <c r="F17" s="16"/>
      <c r="G17" s="16"/>
      <c r="H17" s="16"/>
      <c r="I17" s="16"/>
      <c r="J17" s="16"/>
      <c r="K17" s="16"/>
      <c r="L17" s="16"/>
      <c r="M17" s="16"/>
      <c r="N17" s="16"/>
      <c r="O17" s="16"/>
    </row>
    <row r="18" spans="1:15" x14ac:dyDescent="0.35">
      <c r="A18" s="11" t="s">
        <v>386</v>
      </c>
      <c r="B18" s="16" t="s">
        <v>387</v>
      </c>
      <c r="C18" s="16" t="s">
        <v>388</v>
      </c>
      <c r="D18" s="16" t="s">
        <v>389</v>
      </c>
      <c r="E18" s="16" t="s">
        <v>390</v>
      </c>
      <c r="F18" s="16" t="s">
        <v>391</v>
      </c>
      <c r="G18" s="16" t="s">
        <v>392</v>
      </c>
      <c r="H18" s="16" t="s">
        <v>393</v>
      </c>
      <c r="I18" s="16" t="s">
        <v>394</v>
      </c>
      <c r="J18" s="16"/>
      <c r="K18" s="16"/>
      <c r="L18" s="16"/>
      <c r="M18" s="16"/>
      <c r="N18" s="16"/>
      <c r="O18" s="16"/>
    </row>
    <row r="19" spans="1:15" x14ac:dyDescent="0.35">
      <c r="A19" s="8" t="s">
        <v>489</v>
      </c>
      <c r="B19" s="12">
        <v>44</v>
      </c>
      <c r="C19" s="12">
        <v>44</v>
      </c>
      <c r="D19" s="12">
        <v>47</v>
      </c>
      <c r="E19" s="12">
        <v>49</v>
      </c>
      <c r="F19" s="12">
        <v>50</v>
      </c>
      <c r="G19" s="12">
        <v>50</v>
      </c>
      <c r="H19" s="12">
        <v>53</v>
      </c>
      <c r="I19" s="12">
        <v>55</v>
      </c>
      <c r="J19" s="12"/>
      <c r="K19" s="12"/>
      <c r="L19" s="12"/>
      <c r="M19" s="12"/>
      <c r="N19" s="12"/>
      <c r="O19" s="12"/>
    </row>
    <row r="20" spans="1:15" x14ac:dyDescent="0.35">
      <c r="A20" s="11" t="s">
        <v>490</v>
      </c>
      <c r="B20" s="13">
        <v>51</v>
      </c>
      <c r="C20" s="13">
        <v>52</v>
      </c>
      <c r="D20" s="13">
        <v>53</v>
      </c>
      <c r="E20" s="13">
        <v>55</v>
      </c>
      <c r="F20" s="13">
        <v>56</v>
      </c>
      <c r="G20" s="13">
        <v>56</v>
      </c>
      <c r="H20" s="13">
        <v>55</v>
      </c>
      <c r="I20" s="13">
        <v>58</v>
      </c>
      <c r="J20" s="13"/>
      <c r="K20" s="13"/>
      <c r="L20" s="13"/>
      <c r="M20" s="13"/>
      <c r="N20" s="13"/>
      <c r="O20" s="13"/>
    </row>
    <row r="21" spans="1:15" x14ac:dyDescent="0.35">
      <c r="A21" s="11" t="s">
        <v>491</v>
      </c>
      <c r="B21" s="13">
        <v>66</v>
      </c>
      <c r="C21" s="13">
        <v>66</v>
      </c>
      <c r="D21" s="13">
        <v>66</v>
      </c>
      <c r="E21" s="13">
        <v>69</v>
      </c>
      <c r="F21" s="13">
        <v>71</v>
      </c>
      <c r="G21" s="13">
        <v>72</v>
      </c>
      <c r="H21" s="13">
        <v>74</v>
      </c>
      <c r="I21" s="13">
        <v>75</v>
      </c>
      <c r="J21" s="13"/>
      <c r="K21" s="13"/>
      <c r="L21" s="13"/>
      <c r="M21" s="13"/>
      <c r="N21" s="13"/>
      <c r="O21" s="13"/>
    </row>
    <row r="22" spans="1:15" x14ac:dyDescent="0.35">
      <c r="A22" s="11" t="s">
        <v>395</v>
      </c>
      <c r="B22" s="13">
        <v>52</v>
      </c>
      <c r="C22" s="13">
        <v>52</v>
      </c>
      <c r="D22" s="13">
        <v>54</v>
      </c>
      <c r="E22" s="13">
        <v>55</v>
      </c>
      <c r="F22" s="13">
        <v>56</v>
      </c>
      <c r="G22" s="13">
        <v>55</v>
      </c>
      <c r="H22" s="13">
        <v>55</v>
      </c>
      <c r="I22" s="13">
        <v>57</v>
      </c>
      <c r="J22" s="13"/>
      <c r="K22" s="13"/>
      <c r="L22" s="13"/>
      <c r="M22" s="13"/>
      <c r="N22" s="13"/>
      <c r="O22" s="13"/>
    </row>
    <row r="23" spans="1:15" ht="30" customHeight="1" x14ac:dyDescent="0.4">
      <c r="A23" s="5" t="s">
        <v>270</v>
      </c>
      <c r="B23" s="13"/>
      <c r="C23" s="13"/>
      <c r="D23" s="13"/>
      <c r="E23" s="13"/>
      <c r="F23" s="13"/>
      <c r="G23" s="13"/>
      <c r="H23" s="13"/>
      <c r="I23" s="13"/>
      <c r="J23" s="13"/>
      <c r="K23" s="13"/>
      <c r="L23" s="13"/>
      <c r="M23" s="13"/>
      <c r="N23" s="13"/>
      <c r="O23" s="13"/>
    </row>
    <row r="24" spans="1:15" x14ac:dyDescent="0.35">
      <c r="A24" s="11" t="s">
        <v>386</v>
      </c>
      <c r="B24" s="13" t="s">
        <v>387</v>
      </c>
      <c r="C24" s="13" t="s">
        <v>388</v>
      </c>
      <c r="D24" s="13" t="s">
        <v>389</v>
      </c>
      <c r="E24" s="13" t="s">
        <v>390</v>
      </c>
      <c r="F24" s="13" t="s">
        <v>391</v>
      </c>
      <c r="G24" s="13" t="s">
        <v>392</v>
      </c>
      <c r="H24" s="13" t="s">
        <v>393</v>
      </c>
      <c r="I24" s="13" t="s">
        <v>394</v>
      </c>
      <c r="J24" s="13"/>
      <c r="K24" s="13"/>
      <c r="L24" s="13"/>
      <c r="M24" s="13"/>
      <c r="N24" s="13"/>
      <c r="O24" s="13"/>
    </row>
    <row r="25" spans="1:15" x14ac:dyDescent="0.35">
      <c r="A25" s="8" t="s">
        <v>489</v>
      </c>
      <c r="B25" s="12">
        <v>595</v>
      </c>
      <c r="C25" s="12">
        <v>451</v>
      </c>
      <c r="D25" s="12">
        <v>471</v>
      </c>
      <c r="E25" s="12">
        <v>489</v>
      </c>
      <c r="F25" s="12">
        <v>484</v>
      </c>
      <c r="G25" s="12">
        <v>488</v>
      </c>
      <c r="H25" s="12">
        <v>519</v>
      </c>
      <c r="I25" s="12">
        <v>484</v>
      </c>
      <c r="J25" s="12"/>
      <c r="K25" s="12"/>
      <c r="L25" s="12"/>
      <c r="M25" s="12"/>
      <c r="N25" s="12"/>
      <c r="O25" s="12"/>
    </row>
    <row r="26" spans="1:15" x14ac:dyDescent="0.35">
      <c r="A26" s="11" t="s">
        <v>490</v>
      </c>
      <c r="B26" s="13">
        <v>1558</v>
      </c>
      <c r="C26" s="13">
        <v>1085</v>
      </c>
      <c r="D26" s="13">
        <v>1001</v>
      </c>
      <c r="E26" s="13">
        <v>951</v>
      </c>
      <c r="F26" s="13">
        <v>827</v>
      </c>
      <c r="G26" s="13">
        <v>811</v>
      </c>
      <c r="H26" s="13">
        <v>775</v>
      </c>
      <c r="I26" s="13">
        <v>603</v>
      </c>
      <c r="J26" s="13"/>
      <c r="K26" s="13"/>
      <c r="L26" s="13"/>
      <c r="M26" s="13"/>
      <c r="N26" s="13"/>
      <c r="O26" s="13"/>
    </row>
    <row r="27" spans="1:15" x14ac:dyDescent="0.35">
      <c r="A27" s="11" t="s">
        <v>491</v>
      </c>
      <c r="B27" s="13">
        <v>676</v>
      </c>
      <c r="C27" s="13">
        <v>458</v>
      </c>
      <c r="D27" s="13">
        <v>594</v>
      </c>
      <c r="E27" s="13">
        <v>449</v>
      </c>
      <c r="F27" s="13">
        <v>385</v>
      </c>
      <c r="G27" s="13">
        <v>308</v>
      </c>
      <c r="H27" s="13">
        <v>220</v>
      </c>
      <c r="I27" s="13">
        <v>140</v>
      </c>
      <c r="J27" s="13"/>
      <c r="K27" s="13"/>
      <c r="L27" s="13"/>
      <c r="M27" s="13"/>
      <c r="N27" s="13"/>
      <c r="O27" s="13"/>
    </row>
    <row r="28" spans="1:15" x14ac:dyDescent="0.35">
      <c r="A28" s="11" t="s">
        <v>395</v>
      </c>
      <c r="B28" s="13">
        <v>2829</v>
      </c>
      <c r="C28" s="13">
        <v>1994</v>
      </c>
      <c r="D28" s="13">
        <v>2066</v>
      </c>
      <c r="E28" s="13">
        <v>1889</v>
      </c>
      <c r="F28" s="13">
        <v>1696</v>
      </c>
      <c r="G28" s="13">
        <v>1607</v>
      </c>
      <c r="H28" s="13">
        <v>1514</v>
      </c>
      <c r="I28" s="13">
        <v>1227</v>
      </c>
      <c r="J28" s="13"/>
      <c r="K28" s="13"/>
      <c r="L28" s="13"/>
      <c r="M28" s="13"/>
      <c r="N28" s="13"/>
      <c r="O28" s="13"/>
    </row>
    <row r="29" spans="1:15" x14ac:dyDescent="0.35">
      <c r="A29" s="11"/>
      <c r="B29" s="13"/>
      <c r="C29" s="13"/>
      <c r="D29" s="13"/>
      <c r="E29" s="13"/>
      <c r="F29" s="13"/>
      <c r="G29" s="13"/>
      <c r="H29" s="13"/>
      <c r="I29" s="13"/>
      <c r="J29" s="13"/>
      <c r="K29" s="13"/>
      <c r="L29" s="13"/>
      <c r="M29" s="13"/>
      <c r="N29" s="13"/>
      <c r="O29" s="13"/>
    </row>
    <row r="30" spans="1:15" x14ac:dyDescent="0.35">
      <c r="A30" s="11"/>
      <c r="B30" s="13"/>
      <c r="C30" s="13"/>
      <c r="D30" s="13"/>
      <c r="E30" s="13"/>
      <c r="F30" s="13"/>
      <c r="G30" s="13"/>
      <c r="H30" s="13"/>
      <c r="I30" s="13"/>
      <c r="J30" s="13"/>
      <c r="K30" s="13"/>
      <c r="L30" s="13"/>
      <c r="M30" s="13"/>
      <c r="N30" s="13"/>
      <c r="O30" s="13"/>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277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555</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276</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493</v>
      </c>
      <c r="B8" s="15">
        <v>0.84</v>
      </c>
      <c r="C8" s="15">
        <v>0.85</v>
      </c>
      <c r="D8" s="15">
        <v>0.84</v>
      </c>
      <c r="E8" s="15">
        <v>0.82</v>
      </c>
      <c r="F8" s="15">
        <v>0.82</v>
      </c>
      <c r="G8" s="15">
        <v>0.83</v>
      </c>
      <c r="H8" s="15">
        <v>0.81</v>
      </c>
      <c r="I8" s="15">
        <v>0.77</v>
      </c>
      <c r="J8" s="15"/>
      <c r="K8" s="15"/>
      <c r="L8" s="15"/>
      <c r="M8" s="15"/>
      <c r="N8" s="15"/>
      <c r="O8" s="15"/>
    </row>
    <row r="9" spans="1:15" x14ac:dyDescent="0.35">
      <c r="A9" s="11" t="s">
        <v>496</v>
      </c>
      <c r="B9" s="16">
        <v>0.61</v>
      </c>
      <c r="C9" s="16">
        <v>0.53</v>
      </c>
      <c r="D9" s="16">
        <v>0.56999999999999995</v>
      </c>
      <c r="E9" s="16">
        <v>0.6</v>
      </c>
      <c r="F9" s="16">
        <v>0.57999999999999996</v>
      </c>
      <c r="G9" s="16">
        <v>0.52</v>
      </c>
      <c r="H9" s="16">
        <v>0.57999999999999996</v>
      </c>
      <c r="I9" s="16">
        <v>0.57999999999999996</v>
      </c>
      <c r="J9" s="16"/>
      <c r="K9" s="16"/>
      <c r="L9" s="16"/>
      <c r="M9" s="16"/>
      <c r="N9" s="16"/>
      <c r="O9" s="16"/>
    </row>
    <row r="10" spans="1:15" x14ac:dyDescent="0.35">
      <c r="A10" s="11" t="s">
        <v>494</v>
      </c>
      <c r="B10" s="16">
        <v>0.6</v>
      </c>
      <c r="C10" s="16">
        <v>0.57999999999999996</v>
      </c>
      <c r="D10" s="16">
        <v>0.59</v>
      </c>
      <c r="E10" s="16">
        <v>0.56999999999999995</v>
      </c>
      <c r="F10" s="16">
        <v>0.56999999999999995</v>
      </c>
      <c r="G10" s="16">
        <v>0.63</v>
      </c>
      <c r="H10" s="16">
        <v>0.61</v>
      </c>
      <c r="I10" s="16">
        <v>0.56999999999999995</v>
      </c>
      <c r="J10" s="16"/>
      <c r="K10" s="16"/>
      <c r="L10" s="16"/>
      <c r="M10" s="16"/>
      <c r="N10" s="16"/>
      <c r="O10" s="16"/>
    </row>
    <row r="11" spans="1:15" x14ac:dyDescent="0.35">
      <c r="A11" s="11" t="s">
        <v>495</v>
      </c>
      <c r="B11" s="16">
        <v>0.48</v>
      </c>
      <c r="C11" s="16">
        <v>0.48</v>
      </c>
      <c r="D11" s="16">
        <v>0.45</v>
      </c>
      <c r="E11" s="16">
        <v>0.46</v>
      </c>
      <c r="F11" s="16">
        <v>0.47</v>
      </c>
      <c r="G11" s="16">
        <v>0.48</v>
      </c>
      <c r="H11" s="16">
        <v>0.47</v>
      </c>
      <c r="I11" s="16">
        <v>0.48</v>
      </c>
      <c r="J11" s="16"/>
      <c r="K11" s="16"/>
      <c r="L11" s="16"/>
      <c r="M11" s="16"/>
      <c r="N11" s="16"/>
      <c r="O11" s="16"/>
    </row>
    <row r="12" spans="1:15" x14ac:dyDescent="0.35">
      <c r="A12" s="11" t="s">
        <v>497</v>
      </c>
      <c r="B12" s="16">
        <v>0.42</v>
      </c>
      <c r="C12" s="16">
        <v>0.43</v>
      </c>
      <c r="D12" s="16">
        <v>0.41</v>
      </c>
      <c r="E12" s="16">
        <v>0.44</v>
      </c>
      <c r="F12" s="16">
        <v>0.52</v>
      </c>
      <c r="G12" s="16">
        <v>0.48</v>
      </c>
      <c r="H12" s="16">
        <v>0.48</v>
      </c>
      <c r="I12" s="16">
        <v>0.44</v>
      </c>
      <c r="J12" s="16"/>
      <c r="K12" s="16"/>
      <c r="L12" s="16"/>
      <c r="M12" s="16"/>
      <c r="N12" s="16"/>
      <c r="O12" s="16"/>
    </row>
    <row r="13" spans="1:15" x14ac:dyDescent="0.35">
      <c r="A13" s="11" t="s">
        <v>395</v>
      </c>
      <c r="B13" s="16">
        <v>0.66</v>
      </c>
      <c r="C13" s="16">
        <v>0.66</v>
      </c>
      <c r="D13" s="16">
        <v>0.66</v>
      </c>
      <c r="E13" s="16">
        <v>0.66</v>
      </c>
      <c r="F13" s="16">
        <v>0.66</v>
      </c>
      <c r="G13" s="16">
        <v>0.66</v>
      </c>
      <c r="H13" s="16">
        <v>0.65</v>
      </c>
      <c r="I13" s="16">
        <v>0.62</v>
      </c>
      <c r="J13" s="16"/>
      <c r="K13" s="16"/>
      <c r="L13" s="16"/>
      <c r="M13" s="16"/>
      <c r="N13" s="16"/>
      <c r="O13" s="16"/>
    </row>
    <row r="14" spans="1:15" ht="30" customHeight="1" x14ac:dyDescent="0.4">
      <c r="A14" s="5" t="s">
        <v>273</v>
      </c>
      <c r="B14" s="16"/>
      <c r="C14" s="16"/>
      <c r="D14" s="16"/>
      <c r="E14" s="16"/>
      <c r="F14" s="16"/>
      <c r="G14" s="16"/>
      <c r="H14" s="16"/>
      <c r="I14" s="16"/>
      <c r="J14" s="16"/>
      <c r="K14" s="16"/>
      <c r="L14" s="16"/>
      <c r="M14" s="16"/>
      <c r="N14" s="16"/>
      <c r="O14" s="16"/>
    </row>
    <row r="15" spans="1:15" x14ac:dyDescent="0.35">
      <c r="A15" s="11" t="s">
        <v>386</v>
      </c>
      <c r="B15" s="16" t="s">
        <v>387</v>
      </c>
      <c r="C15" s="16" t="s">
        <v>388</v>
      </c>
      <c r="D15" s="16" t="s">
        <v>389</v>
      </c>
      <c r="E15" s="16" t="s">
        <v>390</v>
      </c>
      <c r="F15" s="16" t="s">
        <v>391</v>
      </c>
      <c r="G15" s="16" t="s">
        <v>392</v>
      </c>
      <c r="H15" s="16" t="s">
        <v>393</v>
      </c>
      <c r="I15" s="16" t="s">
        <v>394</v>
      </c>
      <c r="J15" s="16"/>
      <c r="K15" s="16"/>
      <c r="L15" s="16"/>
      <c r="M15" s="16"/>
      <c r="N15" s="16"/>
      <c r="O15" s="16"/>
    </row>
    <row r="16" spans="1:15" x14ac:dyDescent="0.35">
      <c r="A16" s="8" t="s">
        <v>493</v>
      </c>
      <c r="B16" s="15">
        <v>0.6</v>
      </c>
      <c r="C16" s="15">
        <v>0.61</v>
      </c>
      <c r="D16" s="15">
        <v>0.63</v>
      </c>
      <c r="E16" s="15">
        <v>0.61</v>
      </c>
      <c r="F16" s="15">
        <v>0.57999999999999996</v>
      </c>
      <c r="G16" s="15">
        <v>0.57999999999999996</v>
      </c>
      <c r="H16" s="15">
        <v>0.55000000000000004</v>
      </c>
      <c r="I16" s="15">
        <v>0.55000000000000004</v>
      </c>
      <c r="J16" s="15"/>
      <c r="K16" s="15"/>
      <c r="L16" s="15"/>
      <c r="M16" s="15"/>
      <c r="N16" s="15"/>
      <c r="O16" s="15"/>
    </row>
    <row r="17" spans="1:15" x14ac:dyDescent="0.35">
      <c r="A17" s="11" t="s">
        <v>496</v>
      </c>
      <c r="B17" s="16">
        <v>7.0000000000000007E-2</v>
      </c>
      <c r="C17" s="16">
        <v>0.06</v>
      </c>
      <c r="D17" s="16">
        <v>0.06</v>
      </c>
      <c r="E17" s="16">
        <v>0.08</v>
      </c>
      <c r="F17" s="16">
        <v>7.0000000000000007E-2</v>
      </c>
      <c r="G17" s="16">
        <v>0.08</v>
      </c>
      <c r="H17" s="16">
        <v>0.09</v>
      </c>
      <c r="I17" s="16">
        <v>0.08</v>
      </c>
      <c r="J17" s="16"/>
      <c r="K17" s="16"/>
      <c r="L17" s="16"/>
      <c r="M17" s="16"/>
      <c r="N17" s="16"/>
      <c r="O17" s="16"/>
    </row>
    <row r="18" spans="1:15" x14ac:dyDescent="0.35">
      <c r="A18" s="11" t="s">
        <v>494</v>
      </c>
      <c r="B18" s="16">
        <v>0.12</v>
      </c>
      <c r="C18" s="16">
        <v>0.11</v>
      </c>
      <c r="D18" s="16">
        <v>0.12</v>
      </c>
      <c r="E18" s="16">
        <v>0.12</v>
      </c>
      <c r="F18" s="16">
        <v>0.11</v>
      </c>
      <c r="G18" s="16">
        <v>0.11</v>
      </c>
      <c r="H18" s="16">
        <v>0.12</v>
      </c>
      <c r="I18" s="16">
        <v>0.12</v>
      </c>
      <c r="J18" s="16"/>
      <c r="K18" s="16"/>
      <c r="L18" s="16"/>
      <c r="M18" s="16"/>
      <c r="N18" s="16"/>
      <c r="O18" s="16"/>
    </row>
    <row r="19" spans="1:15" x14ac:dyDescent="0.35">
      <c r="A19" s="11" t="s">
        <v>495</v>
      </c>
      <c r="B19" s="16">
        <v>0.09</v>
      </c>
      <c r="C19" s="16">
        <v>0.1</v>
      </c>
      <c r="D19" s="16">
        <v>0.09</v>
      </c>
      <c r="E19" s="16">
        <v>0.09</v>
      </c>
      <c r="F19" s="16">
        <v>0.1</v>
      </c>
      <c r="G19" s="16">
        <v>0.1</v>
      </c>
      <c r="H19" s="16">
        <v>0.1</v>
      </c>
      <c r="I19" s="16">
        <v>0.11</v>
      </c>
      <c r="J19" s="16"/>
      <c r="K19" s="16"/>
      <c r="L19" s="16"/>
      <c r="M19" s="16"/>
      <c r="N19" s="16"/>
      <c r="O19" s="16"/>
    </row>
    <row r="20" spans="1:15" x14ac:dyDescent="0.35">
      <c r="A20" s="11" t="s">
        <v>497</v>
      </c>
      <c r="B20" s="16">
        <v>0.12</v>
      </c>
      <c r="C20" s="16">
        <v>0.12</v>
      </c>
      <c r="D20" s="16">
        <v>0.1</v>
      </c>
      <c r="E20" s="16">
        <v>0.1</v>
      </c>
      <c r="F20" s="16">
        <v>0.14000000000000001</v>
      </c>
      <c r="G20" s="16">
        <v>0.13</v>
      </c>
      <c r="H20" s="16">
        <v>0.13</v>
      </c>
      <c r="I20" s="16">
        <v>0.14000000000000001</v>
      </c>
      <c r="J20" s="16"/>
      <c r="K20" s="16"/>
      <c r="L20" s="16"/>
      <c r="M20" s="16"/>
      <c r="N20" s="16"/>
      <c r="O20" s="16"/>
    </row>
    <row r="21" spans="1:15" x14ac:dyDescent="0.35">
      <c r="A21" s="11" t="s">
        <v>395</v>
      </c>
      <c r="B21" s="16">
        <v>1</v>
      </c>
      <c r="C21" s="16">
        <v>1</v>
      </c>
      <c r="D21" s="16">
        <v>1</v>
      </c>
      <c r="E21" s="16">
        <v>1</v>
      </c>
      <c r="F21" s="16">
        <v>1</v>
      </c>
      <c r="G21" s="16">
        <v>1</v>
      </c>
      <c r="H21" s="16">
        <v>1</v>
      </c>
      <c r="I21" s="16">
        <v>1</v>
      </c>
      <c r="J21" s="16"/>
      <c r="K21" s="16"/>
      <c r="L21" s="16"/>
      <c r="M21" s="16"/>
      <c r="N21" s="16"/>
      <c r="O21" s="16"/>
    </row>
    <row r="22" spans="1:15" ht="30" customHeight="1" x14ac:dyDescent="0.4">
      <c r="A22" s="5" t="s">
        <v>274</v>
      </c>
      <c r="B22" s="16"/>
      <c r="C22" s="16"/>
      <c r="D22" s="16"/>
      <c r="E22" s="16"/>
      <c r="F22" s="16"/>
      <c r="G22" s="16"/>
      <c r="H22" s="16"/>
      <c r="I22" s="16"/>
      <c r="J22" s="16"/>
      <c r="K22" s="16"/>
      <c r="L22" s="16"/>
      <c r="M22" s="16"/>
      <c r="N22" s="16"/>
      <c r="O22" s="16"/>
    </row>
    <row r="23" spans="1:15" x14ac:dyDescent="0.35">
      <c r="A23" s="11" t="s">
        <v>386</v>
      </c>
      <c r="B23" s="16" t="s">
        <v>387</v>
      </c>
      <c r="C23" s="16" t="s">
        <v>388</v>
      </c>
      <c r="D23" s="16" t="s">
        <v>389</v>
      </c>
      <c r="E23" s="16" t="s">
        <v>390</v>
      </c>
      <c r="F23" s="16" t="s">
        <v>391</v>
      </c>
      <c r="G23" s="16" t="s">
        <v>392</v>
      </c>
      <c r="H23" s="16" t="s">
        <v>393</v>
      </c>
      <c r="I23" s="16" t="s">
        <v>394</v>
      </c>
      <c r="J23" s="16"/>
      <c r="K23" s="16"/>
      <c r="L23" s="16"/>
      <c r="M23" s="16"/>
      <c r="N23" s="16"/>
      <c r="O23" s="16"/>
    </row>
    <row r="24" spans="1:15" x14ac:dyDescent="0.35">
      <c r="A24" s="8" t="s">
        <v>493</v>
      </c>
      <c r="B24" s="12">
        <v>51</v>
      </c>
      <c r="C24" s="12">
        <v>51</v>
      </c>
      <c r="D24" s="12">
        <v>53</v>
      </c>
      <c r="E24" s="12">
        <v>55</v>
      </c>
      <c r="F24" s="12">
        <v>54</v>
      </c>
      <c r="G24" s="12">
        <v>54</v>
      </c>
      <c r="H24" s="12">
        <v>54</v>
      </c>
      <c r="I24" s="12">
        <v>57</v>
      </c>
      <c r="J24" s="12"/>
      <c r="K24" s="12"/>
      <c r="L24" s="12"/>
      <c r="M24" s="12"/>
      <c r="N24" s="12"/>
      <c r="O24" s="12"/>
    </row>
    <row r="25" spans="1:15" x14ac:dyDescent="0.35">
      <c r="A25" s="11" t="s">
        <v>496</v>
      </c>
      <c r="B25" s="13">
        <v>37</v>
      </c>
      <c r="C25" s="13">
        <v>37</v>
      </c>
      <c r="D25" s="13">
        <v>41</v>
      </c>
      <c r="E25" s="13">
        <v>40</v>
      </c>
      <c r="F25" s="13">
        <v>45</v>
      </c>
      <c r="G25" s="13">
        <v>41</v>
      </c>
      <c r="H25" s="13">
        <v>34</v>
      </c>
      <c r="I25" s="13">
        <v>34</v>
      </c>
      <c r="J25" s="13"/>
      <c r="K25" s="13"/>
      <c r="L25" s="13"/>
      <c r="M25" s="13"/>
      <c r="N25" s="13"/>
      <c r="O25" s="13"/>
    </row>
    <row r="26" spans="1:15" x14ac:dyDescent="0.35">
      <c r="A26" s="11" t="s">
        <v>494</v>
      </c>
      <c r="B26" s="13">
        <v>74</v>
      </c>
      <c r="C26" s="13">
        <v>74</v>
      </c>
      <c r="D26" s="13">
        <v>76</v>
      </c>
      <c r="E26" s="13">
        <v>77</v>
      </c>
      <c r="F26" s="13">
        <v>77</v>
      </c>
      <c r="G26" s="13">
        <v>79</v>
      </c>
      <c r="H26" s="13">
        <v>77</v>
      </c>
      <c r="I26" s="13">
        <v>77</v>
      </c>
      <c r="J26" s="13"/>
      <c r="K26" s="13"/>
      <c r="L26" s="13"/>
      <c r="M26" s="13"/>
      <c r="N26" s="13"/>
      <c r="O26" s="13"/>
    </row>
    <row r="27" spans="1:15" x14ac:dyDescent="0.35">
      <c r="A27" s="11" t="s">
        <v>495</v>
      </c>
      <c r="B27" s="13">
        <v>51</v>
      </c>
      <c r="C27" s="13">
        <v>53</v>
      </c>
      <c r="D27" s="13">
        <v>56</v>
      </c>
      <c r="E27" s="13">
        <v>56</v>
      </c>
      <c r="F27" s="13">
        <v>59</v>
      </c>
      <c r="G27" s="13">
        <v>59</v>
      </c>
      <c r="H27" s="13">
        <v>60</v>
      </c>
      <c r="I27" s="13">
        <v>61</v>
      </c>
      <c r="J27" s="13"/>
      <c r="K27" s="13"/>
      <c r="L27" s="13"/>
      <c r="M27" s="13"/>
      <c r="N27" s="13"/>
      <c r="O27" s="13"/>
    </row>
    <row r="28" spans="1:15" x14ac:dyDescent="0.35">
      <c r="A28" s="11" t="s">
        <v>497</v>
      </c>
      <c r="B28" s="13">
        <v>40</v>
      </c>
      <c r="C28" s="13">
        <v>41</v>
      </c>
      <c r="D28" s="13">
        <v>44</v>
      </c>
      <c r="E28" s="13">
        <v>45</v>
      </c>
      <c r="F28" s="13">
        <v>46</v>
      </c>
      <c r="G28" s="13">
        <v>45</v>
      </c>
      <c r="H28" s="13">
        <v>46</v>
      </c>
      <c r="I28" s="13">
        <v>48</v>
      </c>
      <c r="J28" s="13"/>
      <c r="K28" s="13"/>
      <c r="L28" s="13"/>
      <c r="M28" s="13"/>
      <c r="N28" s="13"/>
      <c r="O28" s="13"/>
    </row>
    <row r="29" spans="1:15" x14ac:dyDescent="0.35">
      <c r="A29" s="11" t="s">
        <v>395</v>
      </c>
      <c r="B29" s="13">
        <v>52</v>
      </c>
      <c r="C29" s="13">
        <v>52</v>
      </c>
      <c r="D29" s="13">
        <v>54</v>
      </c>
      <c r="E29" s="13">
        <v>55</v>
      </c>
      <c r="F29" s="13">
        <v>56</v>
      </c>
      <c r="G29" s="13">
        <v>55</v>
      </c>
      <c r="H29" s="13">
        <v>55</v>
      </c>
      <c r="I29" s="13">
        <v>57</v>
      </c>
      <c r="J29" s="13"/>
      <c r="K29" s="13"/>
      <c r="L29" s="13"/>
      <c r="M29" s="13"/>
      <c r="N29" s="13"/>
      <c r="O29" s="13"/>
    </row>
    <row r="30" spans="1:15" ht="30" customHeight="1" x14ac:dyDescent="0.4">
      <c r="A30" s="5" t="s">
        <v>275</v>
      </c>
      <c r="B30" s="13"/>
      <c r="C30" s="13"/>
      <c r="D30" s="13"/>
      <c r="E30" s="13"/>
      <c r="F30" s="13"/>
      <c r="G30" s="13"/>
      <c r="H30" s="13"/>
      <c r="I30" s="13"/>
      <c r="J30" s="13"/>
      <c r="K30" s="13"/>
      <c r="L30" s="13"/>
      <c r="M30" s="13"/>
      <c r="N30" s="13"/>
      <c r="O30" s="13"/>
    </row>
    <row r="31" spans="1:15" x14ac:dyDescent="0.35">
      <c r="A31" s="11" t="s">
        <v>386</v>
      </c>
      <c r="B31" s="13" t="s">
        <v>387</v>
      </c>
      <c r="C31" s="13" t="s">
        <v>388</v>
      </c>
      <c r="D31" s="13" t="s">
        <v>389</v>
      </c>
      <c r="E31" s="13" t="s">
        <v>390</v>
      </c>
      <c r="F31" s="13" t="s">
        <v>391</v>
      </c>
      <c r="G31" s="13" t="s">
        <v>392</v>
      </c>
      <c r="H31" s="13" t="s">
        <v>393</v>
      </c>
      <c r="I31" s="13" t="s">
        <v>394</v>
      </c>
      <c r="J31" s="13"/>
      <c r="K31" s="13"/>
      <c r="L31" s="13"/>
      <c r="M31" s="13"/>
      <c r="N31" s="13"/>
      <c r="O31" s="13"/>
    </row>
    <row r="32" spans="1:15" x14ac:dyDescent="0.35">
      <c r="A32" s="8" t="s">
        <v>493</v>
      </c>
      <c r="B32" s="12">
        <v>1385</v>
      </c>
      <c r="C32" s="12">
        <v>1020</v>
      </c>
      <c r="D32" s="12">
        <v>1051</v>
      </c>
      <c r="E32" s="12">
        <v>949</v>
      </c>
      <c r="F32" s="12">
        <v>838</v>
      </c>
      <c r="G32" s="12">
        <v>796</v>
      </c>
      <c r="H32" s="12">
        <v>749</v>
      </c>
      <c r="I32" s="12">
        <v>629</v>
      </c>
      <c r="J32" s="12"/>
      <c r="K32" s="12"/>
      <c r="L32" s="12"/>
      <c r="M32" s="12"/>
      <c r="N32" s="12"/>
      <c r="O32" s="12"/>
    </row>
    <row r="33" spans="1:15" x14ac:dyDescent="0.35">
      <c r="A33" s="11" t="s">
        <v>496</v>
      </c>
      <c r="B33" s="13">
        <v>195</v>
      </c>
      <c r="C33" s="13">
        <v>127</v>
      </c>
      <c r="D33" s="13">
        <v>142</v>
      </c>
      <c r="E33" s="13">
        <v>140</v>
      </c>
      <c r="F33" s="13">
        <v>125</v>
      </c>
      <c r="G33" s="13">
        <v>127</v>
      </c>
      <c r="H33" s="13">
        <v>99</v>
      </c>
      <c r="I33" s="13">
        <v>75</v>
      </c>
      <c r="J33" s="13"/>
      <c r="K33" s="13"/>
      <c r="L33" s="13"/>
      <c r="M33" s="13"/>
      <c r="N33" s="13"/>
      <c r="O33" s="13"/>
    </row>
    <row r="34" spans="1:15" x14ac:dyDescent="0.35">
      <c r="A34" s="11" t="s">
        <v>494</v>
      </c>
      <c r="B34" s="13">
        <v>374</v>
      </c>
      <c r="C34" s="13">
        <v>253</v>
      </c>
      <c r="D34" s="13">
        <v>282</v>
      </c>
      <c r="E34" s="13">
        <v>286</v>
      </c>
      <c r="F34" s="13">
        <v>243</v>
      </c>
      <c r="G34" s="13">
        <v>220</v>
      </c>
      <c r="H34" s="13">
        <v>245</v>
      </c>
      <c r="I34" s="13">
        <v>183</v>
      </c>
      <c r="J34" s="13"/>
      <c r="K34" s="13"/>
      <c r="L34" s="13"/>
      <c r="M34" s="13"/>
      <c r="N34" s="13"/>
      <c r="O34" s="13"/>
    </row>
    <row r="35" spans="1:15" x14ac:dyDescent="0.35">
      <c r="A35" s="11" t="s">
        <v>495</v>
      </c>
      <c r="B35" s="13">
        <v>378</v>
      </c>
      <c r="C35" s="13">
        <v>277</v>
      </c>
      <c r="D35" s="13">
        <v>282</v>
      </c>
      <c r="E35" s="13">
        <v>262</v>
      </c>
      <c r="F35" s="13">
        <v>239</v>
      </c>
      <c r="G35" s="13">
        <v>238</v>
      </c>
      <c r="H35" s="13">
        <v>215</v>
      </c>
      <c r="I35" s="13">
        <v>170</v>
      </c>
      <c r="J35" s="13"/>
      <c r="K35" s="13"/>
      <c r="L35" s="13"/>
      <c r="M35" s="13"/>
      <c r="N35" s="13"/>
      <c r="O35" s="13"/>
    </row>
    <row r="36" spans="1:15" x14ac:dyDescent="0.35">
      <c r="A36" s="11" t="s">
        <v>497</v>
      </c>
      <c r="B36" s="13">
        <v>501</v>
      </c>
      <c r="C36" s="13">
        <v>318</v>
      </c>
      <c r="D36" s="13">
        <v>312</v>
      </c>
      <c r="E36" s="13">
        <v>253</v>
      </c>
      <c r="F36" s="13">
        <v>251</v>
      </c>
      <c r="G36" s="13">
        <v>226</v>
      </c>
      <c r="H36" s="13">
        <v>206</v>
      </c>
      <c r="I36" s="13">
        <v>172</v>
      </c>
      <c r="J36" s="13"/>
      <c r="K36" s="13"/>
      <c r="L36" s="13"/>
      <c r="M36" s="13"/>
      <c r="N36" s="13"/>
      <c r="O36" s="13"/>
    </row>
    <row r="37" spans="1:15" x14ac:dyDescent="0.35">
      <c r="A37" s="11" t="s">
        <v>395</v>
      </c>
      <c r="B37" s="13">
        <v>2833</v>
      </c>
      <c r="C37" s="13">
        <v>1995</v>
      </c>
      <c r="D37" s="13">
        <v>2069</v>
      </c>
      <c r="E37" s="13">
        <v>1890</v>
      </c>
      <c r="F37" s="13">
        <v>1696</v>
      </c>
      <c r="G37" s="13">
        <v>1607</v>
      </c>
      <c r="H37" s="13">
        <v>1514</v>
      </c>
      <c r="I37" s="13">
        <v>1229</v>
      </c>
      <c r="J37" s="13"/>
      <c r="K37" s="13"/>
      <c r="L37" s="13"/>
      <c r="M37" s="13"/>
      <c r="N37" s="13"/>
      <c r="O37" s="13"/>
    </row>
    <row r="38" spans="1:15" x14ac:dyDescent="0.35">
      <c r="A38" s="11"/>
      <c r="B38" s="13"/>
      <c r="C38" s="13"/>
      <c r="D38" s="13"/>
      <c r="E38" s="13"/>
      <c r="F38" s="13"/>
      <c r="G38" s="13"/>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282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281</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407</v>
      </c>
      <c r="B7" s="15">
        <v>0.49</v>
      </c>
      <c r="C7" s="15">
        <v>0.52</v>
      </c>
      <c r="D7" s="15">
        <v>0.52</v>
      </c>
      <c r="E7" s="15">
        <v>0.5</v>
      </c>
      <c r="F7" s="15">
        <v>0.48</v>
      </c>
      <c r="G7" s="15">
        <v>0.48</v>
      </c>
      <c r="H7" s="15">
        <v>0.53</v>
      </c>
      <c r="I7" s="15">
        <v>0.46</v>
      </c>
      <c r="J7" s="15"/>
      <c r="K7" s="15"/>
      <c r="L7" s="15"/>
      <c r="M7" s="15"/>
      <c r="N7" s="15"/>
      <c r="O7" s="15"/>
    </row>
    <row r="8" spans="1:15" x14ac:dyDescent="0.35">
      <c r="A8" s="11" t="s">
        <v>408</v>
      </c>
      <c r="B8" s="16">
        <v>0.69</v>
      </c>
      <c r="C8" s="16">
        <v>0.68</v>
      </c>
      <c r="D8" s="16">
        <v>0.68</v>
      </c>
      <c r="E8" s="16">
        <v>0.66</v>
      </c>
      <c r="F8" s="16">
        <v>0.66</v>
      </c>
      <c r="G8" s="16">
        <v>0.69</v>
      </c>
      <c r="H8" s="16">
        <v>0.64</v>
      </c>
      <c r="I8" s="16">
        <v>0.62</v>
      </c>
      <c r="J8" s="16"/>
      <c r="K8" s="16"/>
      <c r="L8" s="16"/>
      <c r="M8" s="16"/>
      <c r="N8" s="16"/>
      <c r="O8" s="16"/>
    </row>
    <row r="9" spans="1:15" x14ac:dyDescent="0.35">
      <c r="A9" s="11" t="s">
        <v>409</v>
      </c>
      <c r="B9" s="16">
        <v>0.75</v>
      </c>
      <c r="C9" s="16">
        <v>0.73</v>
      </c>
      <c r="D9" s="16">
        <v>0.73</v>
      </c>
      <c r="E9" s="16">
        <v>0.75</v>
      </c>
      <c r="F9" s="16">
        <v>0.7</v>
      </c>
      <c r="G9" s="16">
        <v>0.64</v>
      </c>
      <c r="H9" s="16">
        <v>0.63</v>
      </c>
      <c r="I9" s="16">
        <v>0.64</v>
      </c>
      <c r="J9" s="16"/>
      <c r="K9" s="16"/>
      <c r="L9" s="16"/>
      <c r="M9" s="16"/>
      <c r="N9" s="16"/>
      <c r="O9" s="16"/>
    </row>
    <row r="10" spans="1:15" x14ac:dyDescent="0.35">
      <c r="A10" s="11" t="s">
        <v>410</v>
      </c>
      <c r="B10" s="16">
        <v>0.74</v>
      </c>
      <c r="C10" s="16">
        <v>0.73</v>
      </c>
      <c r="D10" s="16">
        <v>0.71</v>
      </c>
      <c r="E10" s="16">
        <v>0.72</v>
      </c>
      <c r="F10" s="16">
        <v>0.76</v>
      </c>
      <c r="G10" s="16">
        <v>0.71</v>
      </c>
      <c r="H10" s="16">
        <v>0.7</v>
      </c>
      <c r="I10" s="16">
        <v>0.7</v>
      </c>
      <c r="J10" s="16"/>
      <c r="K10" s="16"/>
      <c r="L10" s="16"/>
      <c r="M10" s="16"/>
      <c r="N10" s="16"/>
      <c r="O10" s="16"/>
    </row>
    <row r="11" spans="1:15" x14ac:dyDescent="0.35">
      <c r="A11" s="11" t="s">
        <v>411</v>
      </c>
      <c r="B11" s="16">
        <v>0.69</v>
      </c>
      <c r="C11" s="16">
        <v>0.7</v>
      </c>
      <c r="D11" s="16">
        <v>0.7</v>
      </c>
      <c r="E11" s="16">
        <v>0.67</v>
      </c>
      <c r="F11" s="16">
        <v>0.68</v>
      </c>
      <c r="G11" s="16">
        <v>0.75</v>
      </c>
      <c r="H11" s="16">
        <v>0.71</v>
      </c>
      <c r="I11" s="16">
        <v>0.64</v>
      </c>
      <c r="J11" s="16"/>
      <c r="K11" s="16"/>
      <c r="L11" s="16"/>
      <c r="M11" s="16"/>
      <c r="N11" s="16"/>
      <c r="O11" s="16"/>
    </row>
    <row r="12" spans="1:15" x14ac:dyDescent="0.35">
      <c r="A12" s="11" t="s">
        <v>412</v>
      </c>
      <c r="B12" s="16">
        <v>0.61</v>
      </c>
      <c r="C12" s="16">
        <v>0.6</v>
      </c>
      <c r="D12" s="16">
        <v>0.64</v>
      </c>
      <c r="E12" s="16">
        <v>0.63</v>
      </c>
      <c r="F12" s="16">
        <v>0.66</v>
      </c>
      <c r="G12" s="16">
        <v>0.71</v>
      </c>
      <c r="H12" s="16">
        <v>0.7</v>
      </c>
      <c r="I12" s="16">
        <v>0.63</v>
      </c>
      <c r="J12" s="16"/>
      <c r="K12" s="16"/>
      <c r="L12" s="16"/>
      <c r="M12" s="16"/>
      <c r="N12" s="16"/>
      <c r="O12" s="16"/>
    </row>
    <row r="13" spans="1:15" x14ac:dyDescent="0.35">
      <c r="A13" s="11" t="s">
        <v>395</v>
      </c>
      <c r="B13" s="16">
        <v>0.66</v>
      </c>
      <c r="C13" s="16">
        <v>0.66</v>
      </c>
      <c r="D13" s="16">
        <v>0.66</v>
      </c>
      <c r="E13" s="16">
        <v>0.66</v>
      </c>
      <c r="F13" s="16">
        <v>0.66</v>
      </c>
      <c r="G13" s="16">
        <v>0.66</v>
      </c>
      <c r="H13" s="16">
        <v>0.65</v>
      </c>
      <c r="I13" s="16">
        <v>0.62</v>
      </c>
      <c r="J13" s="16"/>
      <c r="K13" s="16"/>
      <c r="L13" s="16"/>
      <c r="M13" s="16"/>
      <c r="N13" s="16"/>
      <c r="O13" s="16"/>
    </row>
    <row r="14" spans="1:15" ht="30" customHeight="1" x14ac:dyDescent="0.4">
      <c r="A14" s="5" t="s">
        <v>278</v>
      </c>
      <c r="B14" s="16"/>
      <c r="C14" s="16"/>
      <c r="D14" s="16"/>
      <c r="E14" s="16"/>
      <c r="F14" s="16"/>
      <c r="G14" s="16"/>
      <c r="H14" s="16"/>
      <c r="I14" s="16"/>
      <c r="J14" s="16"/>
      <c r="K14" s="16"/>
      <c r="L14" s="16"/>
      <c r="M14" s="16"/>
      <c r="N14" s="16"/>
      <c r="O14" s="16"/>
    </row>
    <row r="15" spans="1:15" x14ac:dyDescent="0.35">
      <c r="A15" s="11" t="s">
        <v>386</v>
      </c>
      <c r="B15" s="16" t="s">
        <v>387</v>
      </c>
      <c r="C15" s="16" t="s">
        <v>388</v>
      </c>
      <c r="D15" s="16" t="s">
        <v>389</v>
      </c>
      <c r="E15" s="16" t="s">
        <v>390</v>
      </c>
      <c r="F15" s="16" t="s">
        <v>391</v>
      </c>
      <c r="G15" s="16" t="s">
        <v>392</v>
      </c>
      <c r="H15" s="16" t="s">
        <v>393</v>
      </c>
      <c r="I15" s="16" t="s">
        <v>394</v>
      </c>
      <c r="J15" s="16"/>
      <c r="K15" s="16"/>
      <c r="L15" s="16"/>
      <c r="M15" s="16"/>
      <c r="N15" s="16"/>
      <c r="O15" s="16"/>
    </row>
    <row r="16" spans="1:15" x14ac:dyDescent="0.35">
      <c r="A16" s="8" t="s">
        <v>407</v>
      </c>
      <c r="B16" s="15">
        <v>0.13</v>
      </c>
      <c r="C16" s="15">
        <v>0.14000000000000001</v>
      </c>
      <c r="D16" s="15">
        <v>0.13</v>
      </c>
      <c r="E16" s="15">
        <v>0.11</v>
      </c>
      <c r="F16" s="15">
        <v>0.09</v>
      </c>
      <c r="G16" s="15">
        <v>0.11</v>
      </c>
      <c r="H16" s="15">
        <v>0.12</v>
      </c>
      <c r="I16" s="15">
        <v>0.11</v>
      </c>
      <c r="J16" s="15"/>
      <c r="K16" s="15"/>
      <c r="L16" s="15"/>
      <c r="M16" s="15"/>
      <c r="N16" s="15"/>
      <c r="O16" s="15"/>
    </row>
    <row r="17" spans="1:15" x14ac:dyDescent="0.35">
      <c r="A17" s="11" t="s">
        <v>408</v>
      </c>
      <c r="B17" s="16">
        <v>0.21</v>
      </c>
      <c r="C17" s="16">
        <v>0.2</v>
      </c>
      <c r="D17" s="16">
        <v>0.17</v>
      </c>
      <c r="E17" s="16">
        <v>0.16</v>
      </c>
      <c r="F17" s="16">
        <v>0.15</v>
      </c>
      <c r="G17" s="16">
        <v>0.17</v>
      </c>
      <c r="H17" s="16">
        <v>0.17</v>
      </c>
      <c r="I17" s="16">
        <v>0.13</v>
      </c>
      <c r="J17" s="16"/>
      <c r="K17" s="16"/>
      <c r="L17" s="16"/>
      <c r="M17" s="16"/>
      <c r="N17" s="16"/>
      <c r="O17" s="16"/>
    </row>
    <row r="18" spans="1:15" x14ac:dyDescent="0.35">
      <c r="A18" s="11" t="s">
        <v>409</v>
      </c>
      <c r="B18" s="16">
        <v>0.2</v>
      </c>
      <c r="C18" s="16">
        <v>0.21</v>
      </c>
      <c r="D18" s="16">
        <v>0.22</v>
      </c>
      <c r="E18" s="16">
        <v>0.21</v>
      </c>
      <c r="F18" s="16">
        <v>0.23</v>
      </c>
      <c r="G18" s="16">
        <v>0.21</v>
      </c>
      <c r="H18" s="16">
        <v>0.19</v>
      </c>
      <c r="I18" s="16">
        <v>0.19</v>
      </c>
      <c r="J18" s="16"/>
      <c r="K18" s="16"/>
      <c r="L18" s="16"/>
      <c r="M18" s="16"/>
      <c r="N18" s="16"/>
      <c r="O18" s="16"/>
    </row>
    <row r="19" spans="1:15" x14ac:dyDescent="0.35">
      <c r="A19" s="11" t="s">
        <v>410</v>
      </c>
      <c r="B19" s="16">
        <v>0.19</v>
      </c>
      <c r="C19" s="16">
        <v>0.19</v>
      </c>
      <c r="D19" s="16">
        <v>0.19</v>
      </c>
      <c r="E19" s="16">
        <v>0.21</v>
      </c>
      <c r="F19" s="16">
        <v>0.19</v>
      </c>
      <c r="G19" s="16">
        <v>0.19</v>
      </c>
      <c r="H19" s="16">
        <v>0.2</v>
      </c>
      <c r="I19" s="16">
        <v>0.22</v>
      </c>
      <c r="J19" s="16"/>
      <c r="K19" s="16"/>
      <c r="L19" s="16"/>
      <c r="M19" s="16"/>
      <c r="N19" s="16"/>
      <c r="O19" s="16"/>
    </row>
    <row r="20" spans="1:15" x14ac:dyDescent="0.35">
      <c r="A20" s="11" t="s">
        <v>411</v>
      </c>
      <c r="B20" s="16">
        <v>0.14000000000000001</v>
      </c>
      <c r="C20" s="16">
        <v>0.14000000000000001</v>
      </c>
      <c r="D20" s="16">
        <v>0.15</v>
      </c>
      <c r="E20" s="16">
        <v>0.17</v>
      </c>
      <c r="F20" s="16">
        <v>0.17</v>
      </c>
      <c r="G20" s="16">
        <v>0.17</v>
      </c>
      <c r="H20" s="16">
        <v>0.18</v>
      </c>
      <c r="I20" s="16">
        <v>0.18</v>
      </c>
      <c r="J20" s="16"/>
      <c r="K20" s="16"/>
      <c r="L20" s="16"/>
      <c r="M20" s="16"/>
      <c r="N20" s="16"/>
      <c r="O20" s="16"/>
    </row>
    <row r="21" spans="1:15" x14ac:dyDescent="0.35">
      <c r="A21" s="11" t="s">
        <v>412</v>
      </c>
      <c r="B21" s="16">
        <v>0.12</v>
      </c>
      <c r="C21" s="16">
        <v>0.12</v>
      </c>
      <c r="D21" s="16">
        <v>0.13</v>
      </c>
      <c r="E21" s="16">
        <v>0.14000000000000001</v>
      </c>
      <c r="F21" s="16">
        <v>0.16</v>
      </c>
      <c r="G21" s="16">
        <v>0.15</v>
      </c>
      <c r="H21" s="16">
        <v>0.15</v>
      </c>
      <c r="I21" s="16">
        <v>0.16</v>
      </c>
      <c r="J21" s="16"/>
      <c r="K21" s="16"/>
      <c r="L21" s="16"/>
      <c r="M21" s="16"/>
      <c r="N21" s="16"/>
      <c r="O21" s="16"/>
    </row>
    <row r="22" spans="1:15" x14ac:dyDescent="0.35">
      <c r="A22" s="11" t="s">
        <v>395</v>
      </c>
      <c r="B22" s="16">
        <v>1</v>
      </c>
      <c r="C22" s="16">
        <v>1</v>
      </c>
      <c r="D22" s="16">
        <v>1</v>
      </c>
      <c r="E22" s="16">
        <v>1</v>
      </c>
      <c r="F22" s="16">
        <v>1</v>
      </c>
      <c r="G22" s="16">
        <v>1</v>
      </c>
      <c r="H22" s="16">
        <v>1</v>
      </c>
      <c r="I22" s="16">
        <v>1</v>
      </c>
      <c r="J22" s="16"/>
      <c r="K22" s="16"/>
      <c r="L22" s="16"/>
      <c r="M22" s="16"/>
      <c r="N22" s="16"/>
      <c r="O22" s="16"/>
    </row>
    <row r="23" spans="1:15" ht="30" customHeight="1" x14ac:dyDescent="0.4">
      <c r="A23" s="5" t="s">
        <v>279</v>
      </c>
      <c r="B23" s="16"/>
      <c r="C23" s="16"/>
      <c r="D23" s="16"/>
      <c r="E23" s="16"/>
      <c r="F23" s="16"/>
      <c r="G23" s="16"/>
      <c r="H23" s="16"/>
      <c r="I23" s="16"/>
      <c r="J23" s="16"/>
      <c r="K23" s="16"/>
      <c r="L23" s="16"/>
      <c r="M23" s="16"/>
      <c r="N23" s="16"/>
      <c r="O23" s="16"/>
    </row>
    <row r="24" spans="1:15" x14ac:dyDescent="0.35">
      <c r="A24" s="11" t="s">
        <v>386</v>
      </c>
      <c r="B24" s="16" t="s">
        <v>387</v>
      </c>
      <c r="C24" s="16" t="s">
        <v>388</v>
      </c>
      <c r="D24" s="16" t="s">
        <v>389</v>
      </c>
      <c r="E24" s="16" t="s">
        <v>390</v>
      </c>
      <c r="F24" s="16" t="s">
        <v>391</v>
      </c>
      <c r="G24" s="16" t="s">
        <v>392</v>
      </c>
      <c r="H24" s="16" t="s">
        <v>393</v>
      </c>
      <c r="I24" s="16" t="s">
        <v>394</v>
      </c>
      <c r="J24" s="16"/>
      <c r="K24" s="16"/>
      <c r="L24" s="16"/>
      <c r="M24" s="16"/>
      <c r="N24" s="16"/>
      <c r="O24" s="16"/>
    </row>
    <row r="25" spans="1:15" x14ac:dyDescent="0.35">
      <c r="A25" s="8" t="s">
        <v>407</v>
      </c>
      <c r="B25" s="12">
        <v>29</v>
      </c>
      <c r="C25" s="12">
        <v>30</v>
      </c>
      <c r="D25" s="12">
        <v>32</v>
      </c>
      <c r="E25" s="12">
        <v>30</v>
      </c>
      <c r="F25" s="12">
        <v>32</v>
      </c>
      <c r="G25" s="12">
        <v>32</v>
      </c>
      <c r="H25" s="12">
        <v>30</v>
      </c>
      <c r="I25" s="12">
        <v>32</v>
      </c>
      <c r="J25" s="12"/>
      <c r="K25" s="12"/>
      <c r="L25" s="12"/>
      <c r="M25" s="12"/>
      <c r="N25" s="12"/>
      <c r="O25" s="12"/>
    </row>
    <row r="26" spans="1:15" x14ac:dyDescent="0.35">
      <c r="A26" s="11" t="s">
        <v>408</v>
      </c>
      <c r="B26" s="13">
        <v>40</v>
      </c>
      <c r="C26" s="13">
        <v>40</v>
      </c>
      <c r="D26" s="13">
        <v>40</v>
      </c>
      <c r="E26" s="13">
        <v>40</v>
      </c>
      <c r="F26" s="13">
        <v>40</v>
      </c>
      <c r="G26" s="13">
        <v>40</v>
      </c>
      <c r="H26" s="13">
        <v>40</v>
      </c>
      <c r="I26" s="13">
        <v>39</v>
      </c>
      <c r="J26" s="13"/>
      <c r="K26" s="13"/>
      <c r="L26" s="13"/>
      <c r="M26" s="13"/>
      <c r="N26" s="13"/>
      <c r="O26" s="13"/>
    </row>
    <row r="27" spans="1:15" x14ac:dyDescent="0.35">
      <c r="A27" s="11" t="s">
        <v>409</v>
      </c>
      <c r="B27" s="13">
        <v>49</v>
      </c>
      <c r="C27" s="13">
        <v>49</v>
      </c>
      <c r="D27" s="13">
        <v>50</v>
      </c>
      <c r="E27" s="13">
        <v>49</v>
      </c>
      <c r="F27" s="13">
        <v>50</v>
      </c>
      <c r="G27" s="13">
        <v>49</v>
      </c>
      <c r="H27" s="13">
        <v>50</v>
      </c>
      <c r="I27" s="13">
        <v>50</v>
      </c>
      <c r="J27" s="13"/>
      <c r="K27" s="13"/>
      <c r="L27" s="13"/>
      <c r="M27" s="13"/>
      <c r="N27" s="13"/>
      <c r="O27" s="13"/>
    </row>
    <row r="28" spans="1:15" x14ac:dyDescent="0.35">
      <c r="A28" s="11" t="s">
        <v>410</v>
      </c>
      <c r="B28" s="13">
        <v>59</v>
      </c>
      <c r="C28" s="13">
        <v>60</v>
      </c>
      <c r="D28" s="13">
        <v>60</v>
      </c>
      <c r="E28" s="13">
        <v>60</v>
      </c>
      <c r="F28" s="13">
        <v>59</v>
      </c>
      <c r="G28" s="13">
        <v>59</v>
      </c>
      <c r="H28" s="13">
        <v>59</v>
      </c>
      <c r="I28" s="13">
        <v>59</v>
      </c>
      <c r="J28" s="13"/>
      <c r="K28" s="13"/>
      <c r="L28" s="13"/>
      <c r="M28" s="13"/>
      <c r="N28" s="13"/>
      <c r="O28" s="13"/>
    </row>
    <row r="29" spans="1:15" x14ac:dyDescent="0.35">
      <c r="A29" s="11" t="s">
        <v>411</v>
      </c>
      <c r="B29" s="13">
        <v>70</v>
      </c>
      <c r="C29" s="13">
        <v>69</v>
      </c>
      <c r="D29" s="13">
        <v>69</v>
      </c>
      <c r="E29" s="13">
        <v>69</v>
      </c>
      <c r="F29" s="13">
        <v>69</v>
      </c>
      <c r="G29" s="13">
        <v>69</v>
      </c>
      <c r="H29" s="13">
        <v>69</v>
      </c>
      <c r="I29" s="13">
        <v>69</v>
      </c>
      <c r="J29" s="13"/>
      <c r="K29" s="13"/>
      <c r="L29" s="13"/>
      <c r="M29" s="13"/>
      <c r="N29" s="13"/>
      <c r="O29" s="13"/>
    </row>
    <row r="30" spans="1:15" x14ac:dyDescent="0.35">
      <c r="A30" s="11" t="s">
        <v>412</v>
      </c>
      <c r="B30" s="13">
        <v>80</v>
      </c>
      <c r="C30" s="13">
        <v>80</v>
      </c>
      <c r="D30" s="13">
        <v>80</v>
      </c>
      <c r="E30" s="13">
        <v>80</v>
      </c>
      <c r="F30" s="13">
        <v>80</v>
      </c>
      <c r="G30" s="13">
        <v>81</v>
      </c>
      <c r="H30" s="13">
        <v>81</v>
      </c>
      <c r="I30" s="13">
        <v>80</v>
      </c>
      <c r="J30" s="13"/>
      <c r="K30" s="13"/>
      <c r="L30" s="13"/>
      <c r="M30" s="13"/>
      <c r="N30" s="13"/>
      <c r="O30" s="13"/>
    </row>
    <row r="31" spans="1:15" x14ac:dyDescent="0.35">
      <c r="A31" s="11" t="s">
        <v>395</v>
      </c>
      <c r="B31" s="13">
        <v>52</v>
      </c>
      <c r="C31" s="13">
        <v>52</v>
      </c>
      <c r="D31" s="13">
        <v>54</v>
      </c>
      <c r="E31" s="13">
        <v>55</v>
      </c>
      <c r="F31" s="13">
        <v>56</v>
      </c>
      <c r="G31" s="13">
        <v>55</v>
      </c>
      <c r="H31" s="13">
        <v>55</v>
      </c>
      <c r="I31" s="13">
        <v>57</v>
      </c>
      <c r="J31" s="13"/>
      <c r="K31" s="13"/>
      <c r="L31" s="13"/>
      <c r="M31" s="13"/>
      <c r="N31" s="13"/>
      <c r="O31" s="13"/>
    </row>
    <row r="32" spans="1:15" ht="30" customHeight="1" x14ac:dyDescent="0.4">
      <c r="A32" s="5" t="s">
        <v>280</v>
      </c>
      <c r="B32" s="13"/>
      <c r="C32" s="13"/>
      <c r="D32" s="13"/>
      <c r="E32" s="13"/>
      <c r="F32" s="13"/>
      <c r="G32" s="13"/>
      <c r="H32" s="13"/>
      <c r="I32" s="13"/>
      <c r="J32" s="13"/>
      <c r="K32" s="13"/>
      <c r="L32" s="13"/>
      <c r="M32" s="13"/>
      <c r="N32" s="13"/>
      <c r="O32" s="13"/>
    </row>
    <row r="33" spans="1:15" x14ac:dyDescent="0.35">
      <c r="A33" s="11" t="s">
        <v>386</v>
      </c>
      <c r="B33" s="13" t="s">
        <v>387</v>
      </c>
      <c r="C33" s="13" t="s">
        <v>388</v>
      </c>
      <c r="D33" s="13" t="s">
        <v>389</v>
      </c>
      <c r="E33" s="13" t="s">
        <v>390</v>
      </c>
      <c r="F33" s="13" t="s">
        <v>391</v>
      </c>
      <c r="G33" s="13" t="s">
        <v>392</v>
      </c>
      <c r="H33" s="13" t="s">
        <v>393</v>
      </c>
      <c r="I33" s="13" t="s">
        <v>394</v>
      </c>
      <c r="J33" s="13"/>
      <c r="K33" s="13"/>
      <c r="L33" s="13"/>
      <c r="M33" s="13"/>
      <c r="N33" s="13"/>
      <c r="O33" s="13"/>
    </row>
    <row r="34" spans="1:15" x14ac:dyDescent="0.35">
      <c r="A34" s="8" t="s">
        <v>407</v>
      </c>
      <c r="B34" s="12">
        <v>432</v>
      </c>
      <c r="C34" s="12">
        <v>235</v>
      </c>
      <c r="D34" s="12">
        <v>239</v>
      </c>
      <c r="E34" s="12">
        <v>176</v>
      </c>
      <c r="F34" s="12">
        <v>131</v>
      </c>
      <c r="G34" s="12">
        <v>129</v>
      </c>
      <c r="H34" s="12">
        <v>108</v>
      </c>
      <c r="I34" s="12">
        <v>80</v>
      </c>
      <c r="J34" s="12"/>
      <c r="K34" s="12"/>
      <c r="L34" s="12"/>
      <c r="M34" s="12"/>
      <c r="N34" s="12"/>
      <c r="O34" s="12"/>
    </row>
    <row r="35" spans="1:15" x14ac:dyDescent="0.35">
      <c r="A35" s="11" t="s">
        <v>408</v>
      </c>
      <c r="B35" s="13">
        <v>545</v>
      </c>
      <c r="C35" s="13">
        <v>359</v>
      </c>
      <c r="D35" s="13">
        <v>313</v>
      </c>
      <c r="E35" s="13">
        <v>240</v>
      </c>
      <c r="F35" s="13">
        <v>206</v>
      </c>
      <c r="G35" s="13">
        <v>202</v>
      </c>
      <c r="H35" s="13">
        <v>172</v>
      </c>
      <c r="I35" s="13">
        <v>107</v>
      </c>
      <c r="J35" s="13"/>
      <c r="K35" s="13"/>
      <c r="L35" s="13"/>
      <c r="M35" s="13"/>
      <c r="N35" s="13"/>
      <c r="O35" s="13"/>
    </row>
    <row r="36" spans="1:15" x14ac:dyDescent="0.35">
      <c r="A36" s="11" t="s">
        <v>409</v>
      </c>
      <c r="B36" s="13">
        <v>507</v>
      </c>
      <c r="C36" s="13">
        <v>386</v>
      </c>
      <c r="D36" s="13">
        <v>393</v>
      </c>
      <c r="E36" s="13">
        <v>340</v>
      </c>
      <c r="F36" s="13">
        <v>333</v>
      </c>
      <c r="G36" s="13">
        <v>301</v>
      </c>
      <c r="H36" s="13">
        <v>259</v>
      </c>
      <c r="I36" s="13">
        <v>191</v>
      </c>
      <c r="J36" s="13"/>
      <c r="K36" s="13"/>
      <c r="L36" s="13"/>
      <c r="M36" s="13"/>
      <c r="N36" s="13"/>
      <c r="O36" s="13"/>
    </row>
    <row r="37" spans="1:15" x14ac:dyDescent="0.35">
      <c r="A37" s="11" t="s">
        <v>410</v>
      </c>
      <c r="B37" s="13">
        <v>544</v>
      </c>
      <c r="C37" s="13">
        <v>391</v>
      </c>
      <c r="D37" s="13">
        <v>423</v>
      </c>
      <c r="E37" s="13">
        <v>398</v>
      </c>
      <c r="F37" s="13">
        <v>324</v>
      </c>
      <c r="G37" s="13">
        <v>332</v>
      </c>
      <c r="H37" s="13">
        <v>317</v>
      </c>
      <c r="I37" s="13">
        <v>283</v>
      </c>
      <c r="J37" s="13"/>
      <c r="K37" s="13"/>
      <c r="L37" s="13"/>
      <c r="M37" s="13"/>
      <c r="N37" s="13"/>
      <c r="O37" s="13"/>
    </row>
    <row r="38" spans="1:15" x14ac:dyDescent="0.35">
      <c r="A38" s="11" t="s">
        <v>411</v>
      </c>
      <c r="B38" s="13">
        <v>444</v>
      </c>
      <c r="C38" s="13">
        <v>355</v>
      </c>
      <c r="D38" s="13">
        <v>397</v>
      </c>
      <c r="E38" s="13">
        <v>403</v>
      </c>
      <c r="F38" s="13">
        <v>377</v>
      </c>
      <c r="G38" s="13">
        <v>342</v>
      </c>
      <c r="H38" s="13">
        <v>357</v>
      </c>
      <c r="I38" s="13">
        <v>316</v>
      </c>
      <c r="J38" s="13"/>
      <c r="K38" s="13"/>
      <c r="L38" s="13"/>
      <c r="M38" s="13"/>
      <c r="N38" s="13"/>
      <c r="O38" s="13"/>
    </row>
    <row r="39" spans="1:15" x14ac:dyDescent="0.35">
      <c r="A39" s="11" t="s">
        <v>412</v>
      </c>
      <c r="B39" s="13">
        <v>361</v>
      </c>
      <c r="C39" s="13">
        <v>269</v>
      </c>
      <c r="D39" s="13">
        <v>304</v>
      </c>
      <c r="E39" s="13">
        <v>333</v>
      </c>
      <c r="F39" s="13">
        <v>325</v>
      </c>
      <c r="G39" s="13">
        <v>301</v>
      </c>
      <c r="H39" s="13">
        <v>301</v>
      </c>
      <c r="I39" s="13">
        <v>252</v>
      </c>
      <c r="J39" s="13"/>
      <c r="K39" s="13"/>
      <c r="L39" s="13"/>
      <c r="M39" s="13"/>
      <c r="N39" s="13"/>
      <c r="O39" s="13"/>
    </row>
    <row r="40" spans="1:15" x14ac:dyDescent="0.35">
      <c r="A40" s="11" t="s">
        <v>395</v>
      </c>
      <c r="B40" s="13">
        <v>2833</v>
      </c>
      <c r="C40" s="13">
        <v>1995</v>
      </c>
      <c r="D40" s="13">
        <v>2069</v>
      </c>
      <c r="E40" s="13">
        <v>1890</v>
      </c>
      <c r="F40" s="13">
        <v>1696</v>
      </c>
      <c r="G40" s="13">
        <v>1607</v>
      </c>
      <c r="H40" s="13">
        <v>1514</v>
      </c>
      <c r="I40" s="13">
        <v>1229</v>
      </c>
      <c r="J40" s="13"/>
      <c r="K40" s="13"/>
      <c r="L40" s="13"/>
      <c r="M40" s="13"/>
      <c r="N40" s="13"/>
      <c r="O40" s="13"/>
    </row>
    <row r="41" spans="1:15" x14ac:dyDescent="0.35">
      <c r="A41" s="11"/>
      <c r="B41" s="13"/>
      <c r="C41" s="13"/>
      <c r="D41" s="13"/>
      <c r="E41" s="13"/>
      <c r="F41" s="13"/>
      <c r="G41" s="13"/>
      <c r="H41" s="13"/>
      <c r="I41" s="13"/>
      <c r="J41" s="13"/>
      <c r="K41" s="13"/>
      <c r="L41" s="13"/>
      <c r="M41" s="13"/>
      <c r="N41" s="13"/>
      <c r="O41" s="13"/>
    </row>
    <row r="42" spans="1:15" x14ac:dyDescent="0.35">
      <c r="A42" s="11"/>
      <c r="B42" s="13"/>
      <c r="C42" s="13"/>
      <c r="D42" s="13"/>
      <c r="E42" s="13"/>
      <c r="F42" s="13"/>
      <c r="G42" s="13"/>
      <c r="H42" s="13"/>
      <c r="I42" s="13"/>
      <c r="J42" s="13"/>
      <c r="K42" s="13"/>
      <c r="L42" s="13"/>
      <c r="M42" s="13"/>
      <c r="N42" s="13"/>
      <c r="O42" s="13"/>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287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286</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559</v>
      </c>
      <c r="B7" s="15">
        <v>0.72</v>
      </c>
      <c r="C7" s="15">
        <v>0.73</v>
      </c>
      <c r="D7" s="15">
        <v>0.72</v>
      </c>
      <c r="E7" s="15">
        <v>0.72</v>
      </c>
      <c r="F7" s="15">
        <v>0.74</v>
      </c>
      <c r="G7" s="15">
        <v>0.71</v>
      </c>
      <c r="H7" s="15">
        <v>0.71</v>
      </c>
      <c r="I7" s="15" t="s">
        <v>502</v>
      </c>
      <c r="J7" s="15"/>
      <c r="K7" s="15"/>
      <c r="L7" s="15"/>
      <c r="M7" s="15"/>
      <c r="N7" s="15"/>
      <c r="O7" s="15"/>
    </row>
    <row r="8" spans="1:15" x14ac:dyDescent="0.35">
      <c r="A8" s="11" t="s">
        <v>558</v>
      </c>
      <c r="B8" s="16">
        <v>0.54</v>
      </c>
      <c r="C8" s="16">
        <v>0.51</v>
      </c>
      <c r="D8" s="16">
        <v>0.53</v>
      </c>
      <c r="E8" s="16">
        <v>0.55000000000000004</v>
      </c>
      <c r="F8" s="16">
        <v>0.53</v>
      </c>
      <c r="G8" s="16">
        <v>0.56000000000000005</v>
      </c>
      <c r="H8" s="16">
        <v>0.55000000000000004</v>
      </c>
      <c r="I8" s="16" t="s">
        <v>502</v>
      </c>
      <c r="J8" s="16"/>
      <c r="K8" s="16"/>
      <c r="L8" s="16"/>
      <c r="M8" s="16"/>
      <c r="N8" s="16"/>
      <c r="O8" s="16"/>
    </row>
    <row r="9" spans="1:15" x14ac:dyDescent="0.35">
      <c r="A9" s="11" t="s">
        <v>395</v>
      </c>
      <c r="B9" s="16">
        <v>0.66</v>
      </c>
      <c r="C9" s="16">
        <v>0.66</v>
      </c>
      <c r="D9" s="16">
        <v>0.66</v>
      </c>
      <c r="E9" s="16">
        <v>0.66</v>
      </c>
      <c r="F9" s="16">
        <v>0.66</v>
      </c>
      <c r="G9" s="16">
        <v>0.66</v>
      </c>
      <c r="H9" s="16">
        <v>0.65</v>
      </c>
      <c r="I9" s="16" t="s">
        <v>502</v>
      </c>
      <c r="J9" s="16"/>
      <c r="K9" s="16"/>
      <c r="L9" s="16"/>
      <c r="M9" s="16"/>
      <c r="N9" s="16"/>
      <c r="O9" s="16"/>
    </row>
    <row r="10" spans="1:15" ht="30" customHeight="1" x14ac:dyDescent="0.4">
      <c r="A10" s="5" t="s">
        <v>283</v>
      </c>
      <c r="B10" s="16"/>
      <c r="C10" s="16"/>
      <c r="D10" s="16"/>
      <c r="E10" s="16"/>
      <c r="F10" s="16"/>
      <c r="G10" s="16"/>
      <c r="H10" s="16"/>
      <c r="I10" s="16"/>
      <c r="J10" s="16"/>
      <c r="K10" s="16"/>
      <c r="L10" s="16"/>
      <c r="M10" s="16"/>
      <c r="N10" s="16"/>
      <c r="O10" s="16"/>
    </row>
    <row r="11" spans="1:15" x14ac:dyDescent="0.35">
      <c r="A11" s="11" t="s">
        <v>386</v>
      </c>
      <c r="B11" s="16" t="s">
        <v>387</v>
      </c>
      <c r="C11" s="16" t="s">
        <v>388</v>
      </c>
      <c r="D11" s="16" t="s">
        <v>389</v>
      </c>
      <c r="E11" s="16" t="s">
        <v>390</v>
      </c>
      <c r="F11" s="16" t="s">
        <v>391</v>
      </c>
      <c r="G11" s="16" t="s">
        <v>392</v>
      </c>
      <c r="H11" s="16" t="s">
        <v>393</v>
      </c>
      <c r="I11" s="16" t="s">
        <v>394</v>
      </c>
      <c r="J11" s="16"/>
      <c r="K11" s="16"/>
      <c r="L11" s="16"/>
      <c r="M11" s="16"/>
      <c r="N11" s="16"/>
      <c r="O11" s="16"/>
    </row>
    <row r="12" spans="1:15" x14ac:dyDescent="0.35">
      <c r="A12" s="8" t="s">
        <v>559</v>
      </c>
      <c r="B12" s="15">
        <v>0.76</v>
      </c>
      <c r="C12" s="15">
        <v>0.77</v>
      </c>
      <c r="D12" s="15">
        <v>0.75</v>
      </c>
      <c r="E12" s="15">
        <v>0.74</v>
      </c>
      <c r="F12" s="15">
        <v>0.73</v>
      </c>
      <c r="G12" s="15">
        <v>0.71</v>
      </c>
      <c r="H12" s="15">
        <v>0.7</v>
      </c>
      <c r="I12" s="15" t="s">
        <v>502</v>
      </c>
      <c r="J12" s="15"/>
      <c r="K12" s="15"/>
      <c r="L12" s="15"/>
      <c r="M12" s="15"/>
      <c r="N12" s="15"/>
      <c r="O12" s="15"/>
    </row>
    <row r="13" spans="1:15" x14ac:dyDescent="0.35">
      <c r="A13" s="11" t="s">
        <v>558</v>
      </c>
      <c r="B13" s="16">
        <v>0.24</v>
      </c>
      <c r="C13" s="16">
        <v>0.23</v>
      </c>
      <c r="D13" s="16">
        <v>0.25</v>
      </c>
      <c r="E13" s="16">
        <v>0.26</v>
      </c>
      <c r="F13" s="16">
        <v>0.27</v>
      </c>
      <c r="G13" s="16">
        <v>0.28999999999999998</v>
      </c>
      <c r="H13" s="16">
        <v>0.3</v>
      </c>
      <c r="I13" s="16" t="s">
        <v>502</v>
      </c>
      <c r="J13" s="16"/>
      <c r="K13" s="16"/>
      <c r="L13" s="16"/>
      <c r="M13" s="16"/>
      <c r="N13" s="16"/>
      <c r="O13" s="16"/>
    </row>
    <row r="14" spans="1:15" x14ac:dyDescent="0.35">
      <c r="A14" s="11" t="s">
        <v>395</v>
      </c>
      <c r="B14" s="16">
        <v>1</v>
      </c>
      <c r="C14" s="16">
        <v>1</v>
      </c>
      <c r="D14" s="16">
        <v>1</v>
      </c>
      <c r="E14" s="16">
        <v>1</v>
      </c>
      <c r="F14" s="16">
        <v>1</v>
      </c>
      <c r="G14" s="16">
        <v>1</v>
      </c>
      <c r="H14" s="16">
        <v>1</v>
      </c>
      <c r="I14" s="16" t="s">
        <v>502</v>
      </c>
      <c r="J14" s="16"/>
      <c r="K14" s="16"/>
      <c r="L14" s="16"/>
      <c r="M14" s="16"/>
      <c r="N14" s="16"/>
      <c r="O14" s="16"/>
    </row>
    <row r="15" spans="1:15" ht="30" customHeight="1" x14ac:dyDescent="0.4">
      <c r="A15" s="5" t="s">
        <v>284</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559</v>
      </c>
      <c r="B17" s="12">
        <v>48</v>
      </c>
      <c r="C17" s="12">
        <v>49</v>
      </c>
      <c r="D17" s="12">
        <v>50</v>
      </c>
      <c r="E17" s="12">
        <v>52</v>
      </c>
      <c r="F17" s="12">
        <v>52</v>
      </c>
      <c r="G17" s="12">
        <v>51</v>
      </c>
      <c r="H17" s="12">
        <v>53</v>
      </c>
      <c r="I17" s="12" t="s">
        <v>502</v>
      </c>
      <c r="J17" s="12"/>
      <c r="K17" s="12"/>
      <c r="L17" s="12"/>
      <c r="M17" s="12"/>
      <c r="N17" s="12"/>
      <c r="O17" s="12"/>
    </row>
    <row r="18" spans="1:15" x14ac:dyDescent="0.35">
      <c r="A18" s="11" t="s">
        <v>558</v>
      </c>
      <c r="B18" s="13">
        <v>62</v>
      </c>
      <c r="C18" s="13">
        <v>63</v>
      </c>
      <c r="D18" s="13">
        <v>65</v>
      </c>
      <c r="E18" s="13">
        <v>65</v>
      </c>
      <c r="F18" s="13">
        <v>65</v>
      </c>
      <c r="G18" s="13">
        <v>66</v>
      </c>
      <c r="H18" s="13">
        <v>63</v>
      </c>
      <c r="I18" s="13" t="s">
        <v>502</v>
      </c>
      <c r="J18" s="13"/>
      <c r="K18" s="13"/>
      <c r="L18" s="13"/>
      <c r="M18" s="13"/>
      <c r="N18" s="13"/>
      <c r="O18" s="13"/>
    </row>
    <row r="19" spans="1:15" x14ac:dyDescent="0.35">
      <c r="A19" s="11" t="s">
        <v>395</v>
      </c>
      <c r="B19" s="13">
        <v>52</v>
      </c>
      <c r="C19" s="13">
        <v>52</v>
      </c>
      <c r="D19" s="13">
        <v>54</v>
      </c>
      <c r="E19" s="13">
        <v>55</v>
      </c>
      <c r="F19" s="13">
        <v>56</v>
      </c>
      <c r="G19" s="13">
        <v>55</v>
      </c>
      <c r="H19" s="13">
        <v>55</v>
      </c>
      <c r="I19" s="13" t="s">
        <v>502</v>
      </c>
      <c r="J19" s="13"/>
      <c r="K19" s="13"/>
      <c r="L19" s="13"/>
      <c r="M19" s="13"/>
      <c r="N19" s="13"/>
      <c r="O19" s="13"/>
    </row>
    <row r="20" spans="1:15" ht="30" customHeight="1" x14ac:dyDescent="0.4">
      <c r="A20" s="5" t="s">
        <v>285</v>
      </c>
      <c r="B20" s="13"/>
      <c r="C20" s="13"/>
      <c r="D20" s="13"/>
      <c r="E20" s="13"/>
      <c r="F20" s="13"/>
      <c r="G20" s="13"/>
      <c r="H20" s="13"/>
      <c r="I20" s="13"/>
      <c r="J20" s="13"/>
      <c r="K20" s="13"/>
      <c r="L20" s="13"/>
      <c r="M20" s="13"/>
      <c r="N20" s="13"/>
      <c r="O20" s="13"/>
    </row>
    <row r="21" spans="1:15" x14ac:dyDescent="0.35">
      <c r="A21" s="11" t="s">
        <v>386</v>
      </c>
      <c r="B21" s="13" t="s">
        <v>387</v>
      </c>
      <c r="C21" s="13" t="s">
        <v>388</v>
      </c>
      <c r="D21" s="13" t="s">
        <v>389</v>
      </c>
      <c r="E21" s="13" t="s">
        <v>390</v>
      </c>
      <c r="F21" s="13" t="s">
        <v>391</v>
      </c>
      <c r="G21" s="13" t="s">
        <v>392</v>
      </c>
      <c r="H21" s="13" t="s">
        <v>393</v>
      </c>
      <c r="I21" s="13" t="s">
        <v>394</v>
      </c>
      <c r="J21" s="13"/>
      <c r="K21" s="13"/>
      <c r="L21" s="13"/>
      <c r="M21" s="13"/>
      <c r="N21" s="13"/>
      <c r="O21" s="13"/>
    </row>
    <row r="22" spans="1:15" x14ac:dyDescent="0.35">
      <c r="A22" s="8" t="s">
        <v>559</v>
      </c>
      <c r="B22" s="12">
        <v>1972</v>
      </c>
      <c r="C22" s="12">
        <v>1382</v>
      </c>
      <c r="D22" s="12">
        <v>1424</v>
      </c>
      <c r="E22" s="12">
        <v>1264</v>
      </c>
      <c r="F22" s="12">
        <v>1134</v>
      </c>
      <c r="G22" s="12">
        <v>1033</v>
      </c>
      <c r="H22" s="12">
        <v>976</v>
      </c>
      <c r="I22" s="12" t="s">
        <v>502</v>
      </c>
      <c r="J22" s="12"/>
      <c r="K22" s="12"/>
      <c r="L22" s="12"/>
      <c r="M22" s="12"/>
      <c r="N22" s="12"/>
      <c r="O22" s="12"/>
    </row>
    <row r="23" spans="1:15" x14ac:dyDescent="0.35">
      <c r="A23" s="11" t="s">
        <v>558</v>
      </c>
      <c r="B23" s="13">
        <v>861</v>
      </c>
      <c r="C23" s="13">
        <v>613</v>
      </c>
      <c r="D23" s="13">
        <v>645</v>
      </c>
      <c r="E23" s="13">
        <v>626</v>
      </c>
      <c r="F23" s="13">
        <v>562</v>
      </c>
      <c r="G23" s="13">
        <v>574</v>
      </c>
      <c r="H23" s="13">
        <v>538</v>
      </c>
      <c r="I23" s="13" t="s">
        <v>502</v>
      </c>
      <c r="J23" s="13"/>
      <c r="K23" s="13"/>
      <c r="L23" s="13"/>
      <c r="M23" s="13"/>
      <c r="N23" s="13"/>
      <c r="O23" s="13"/>
    </row>
    <row r="24" spans="1:15" x14ac:dyDescent="0.35">
      <c r="A24" s="11" t="s">
        <v>395</v>
      </c>
      <c r="B24" s="13">
        <v>2833</v>
      </c>
      <c r="C24" s="13">
        <v>1995</v>
      </c>
      <c r="D24" s="13">
        <v>2069</v>
      </c>
      <c r="E24" s="13">
        <v>1890</v>
      </c>
      <c r="F24" s="13">
        <v>1696</v>
      </c>
      <c r="G24" s="13">
        <v>1607</v>
      </c>
      <c r="H24" s="13">
        <v>1514</v>
      </c>
      <c r="I24" s="13" t="s">
        <v>502</v>
      </c>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292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29" x14ac:dyDescent="0.35">
      <c r="A4" s="8" t="s">
        <v>564</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291</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510</v>
      </c>
      <c r="B8" s="15">
        <v>0.68</v>
      </c>
      <c r="C8" s="15">
        <v>0.67</v>
      </c>
      <c r="D8" s="15">
        <v>0.67</v>
      </c>
      <c r="E8" s="15">
        <v>0.67</v>
      </c>
      <c r="F8" s="15">
        <v>0.66</v>
      </c>
      <c r="G8" s="15">
        <v>0.68</v>
      </c>
      <c r="H8" s="15">
        <v>0.65</v>
      </c>
      <c r="I8" s="15">
        <v>0.64</v>
      </c>
      <c r="J8" s="15"/>
      <c r="K8" s="15"/>
      <c r="L8" s="15"/>
      <c r="M8" s="15"/>
      <c r="N8" s="15"/>
      <c r="O8" s="15"/>
    </row>
    <row r="9" spans="1:15" x14ac:dyDescent="0.35">
      <c r="A9" s="11" t="s">
        <v>511</v>
      </c>
      <c r="B9" s="16">
        <v>0.49</v>
      </c>
      <c r="C9" s="16">
        <v>0.56999999999999995</v>
      </c>
      <c r="D9" s="16">
        <v>0.47</v>
      </c>
      <c r="E9" s="16">
        <v>0.44</v>
      </c>
      <c r="F9" s="16">
        <v>0.55000000000000004</v>
      </c>
      <c r="G9" s="16">
        <v>0.47</v>
      </c>
      <c r="H9" s="16">
        <v>0.52</v>
      </c>
      <c r="I9" s="16">
        <v>0.4</v>
      </c>
      <c r="J9" s="16"/>
      <c r="K9" s="16"/>
      <c r="L9" s="16"/>
      <c r="M9" s="16"/>
      <c r="N9" s="16"/>
      <c r="O9" s="16"/>
    </row>
    <row r="10" spans="1:15" x14ac:dyDescent="0.35">
      <c r="A10" s="11" t="s">
        <v>395</v>
      </c>
      <c r="B10" s="16">
        <v>0.66</v>
      </c>
      <c r="C10" s="16">
        <v>0.66</v>
      </c>
      <c r="D10" s="16">
        <v>0.66</v>
      </c>
      <c r="E10" s="16">
        <v>0.66</v>
      </c>
      <c r="F10" s="16">
        <v>0.65</v>
      </c>
      <c r="G10" s="16">
        <v>0.67</v>
      </c>
      <c r="H10" s="16">
        <v>0.64</v>
      </c>
      <c r="I10" s="16">
        <v>0.62</v>
      </c>
      <c r="J10" s="16"/>
      <c r="K10" s="16"/>
      <c r="L10" s="16"/>
      <c r="M10" s="16"/>
      <c r="N10" s="16"/>
      <c r="O10" s="16"/>
    </row>
    <row r="11" spans="1:15" ht="30" customHeight="1" x14ac:dyDescent="0.4">
      <c r="A11" s="5" t="s">
        <v>288</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510</v>
      </c>
      <c r="B13" s="15">
        <v>0.95</v>
      </c>
      <c r="C13" s="15">
        <v>0.95</v>
      </c>
      <c r="D13" s="15">
        <v>0.96</v>
      </c>
      <c r="E13" s="15">
        <v>0.96</v>
      </c>
      <c r="F13" s="15">
        <v>0.95</v>
      </c>
      <c r="G13" s="15">
        <v>0.95</v>
      </c>
      <c r="H13" s="15">
        <v>0.93</v>
      </c>
      <c r="I13" s="15">
        <v>0.95</v>
      </c>
      <c r="J13" s="15"/>
      <c r="K13" s="15"/>
      <c r="L13" s="15"/>
      <c r="M13" s="15"/>
      <c r="N13" s="15"/>
      <c r="O13" s="15"/>
    </row>
    <row r="14" spans="1:15" x14ac:dyDescent="0.35">
      <c r="A14" s="11" t="s">
        <v>511</v>
      </c>
      <c r="B14" s="16">
        <v>0.05</v>
      </c>
      <c r="C14" s="16">
        <v>0.05</v>
      </c>
      <c r="D14" s="16">
        <v>0.04</v>
      </c>
      <c r="E14" s="16">
        <v>0.04</v>
      </c>
      <c r="F14" s="16">
        <v>0.05</v>
      </c>
      <c r="G14" s="16">
        <v>0.05</v>
      </c>
      <c r="H14" s="16">
        <v>7.0000000000000007E-2</v>
      </c>
      <c r="I14" s="16">
        <v>0.05</v>
      </c>
      <c r="J14" s="16"/>
      <c r="K14" s="16"/>
      <c r="L14" s="16"/>
      <c r="M14" s="16"/>
      <c r="N14" s="16"/>
      <c r="O14" s="16"/>
    </row>
    <row r="15" spans="1:15" x14ac:dyDescent="0.35">
      <c r="A15" s="11" t="s">
        <v>395</v>
      </c>
      <c r="B15" s="16">
        <v>1</v>
      </c>
      <c r="C15" s="16">
        <v>1</v>
      </c>
      <c r="D15" s="16">
        <v>1</v>
      </c>
      <c r="E15" s="16">
        <v>1</v>
      </c>
      <c r="F15" s="16">
        <v>1</v>
      </c>
      <c r="G15" s="16">
        <v>1</v>
      </c>
      <c r="H15" s="16">
        <v>1</v>
      </c>
      <c r="I15" s="16">
        <v>1</v>
      </c>
      <c r="J15" s="16"/>
      <c r="K15" s="16"/>
      <c r="L15" s="16"/>
      <c r="M15" s="16"/>
      <c r="N15" s="16"/>
      <c r="O15" s="16"/>
    </row>
    <row r="16" spans="1:15" ht="30" customHeight="1" x14ac:dyDescent="0.4">
      <c r="A16" s="5" t="s">
        <v>289</v>
      </c>
      <c r="B16" s="16"/>
      <c r="C16" s="16"/>
      <c r="D16" s="16"/>
      <c r="E16" s="16"/>
      <c r="F16" s="16"/>
      <c r="G16" s="16"/>
      <c r="H16" s="16"/>
      <c r="I16" s="16"/>
      <c r="J16" s="16"/>
      <c r="K16" s="16"/>
      <c r="L16" s="16"/>
      <c r="M16" s="16"/>
      <c r="N16" s="16"/>
      <c r="O16" s="16"/>
    </row>
    <row r="17" spans="1:15" x14ac:dyDescent="0.35">
      <c r="A17" s="11" t="s">
        <v>386</v>
      </c>
      <c r="B17" s="16" t="s">
        <v>387</v>
      </c>
      <c r="C17" s="16" t="s">
        <v>388</v>
      </c>
      <c r="D17" s="16" t="s">
        <v>389</v>
      </c>
      <c r="E17" s="16" t="s">
        <v>390</v>
      </c>
      <c r="F17" s="16" t="s">
        <v>391</v>
      </c>
      <c r="G17" s="16" t="s">
        <v>392</v>
      </c>
      <c r="H17" s="16" t="s">
        <v>393</v>
      </c>
      <c r="I17" s="16" t="s">
        <v>394</v>
      </c>
      <c r="J17" s="16"/>
      <c r="K17" s="16"/>
      <c r="L17" s="16"/>
      <c r="M17" s="16"/>
      <c r="N17" s="16"/>
      <c r="O17" s="16"/>
    </row>
    <row r="18" spans="1:15" x14ac:dyDescent="0.35">
      <c r="A18" s="8" t="s">
        <v>510</v>
      </c>
      <c r="B18" s="12">
        <v>52</v>
      </c>
      <c r="C18" s="12">
        <v>53</v>
      </c>
      <c r="D18" s="12">
        <v>54</v>
      </c>
      <c r="E18" s="12">
        <v>56</v>
      </c>
      <c r="F18" s="12">
        <v>57</v>
      </c>
      <c r="G18" s="12">
        <v>57</v>
      </c>
      <c r="H18" s="12">
        <v>57</v>
      </c>
      <c r="I18" s="12">
        <v>58</v>
      </c>
      <c r="J18" s="12"/>
      <c r="K18" s="12"/>
      <c r="L18" s="12"/>
      <c r="M18" s="12"/>
      <c r="N18" s="12"/>
      <c r="O18" s="12"/>
    </row>
    <row r="19" spans="1:15" x14ac:dyDescent="0.35">
      <c r="A19" s="11" t="s">
        <v>511</v>
      </c>
      <c r="B19" s="13">
        <v>42</v>
      </c>
      <c r="C19" s="13">
        <v>41</v>
      </c>
      <c r="D19" s="13">
        <v>42</v>
      </c>
      <c r="E19" s="13">
        <v>44</v>
      </c>
      <c r="F19" s="13">
        <v>46</v>
      </c>
      <c r="G19" s="13">
        <v>42</v>
      </c>
      <c r="H19" s="13">
        <v>44</v>
      </c>
      <c r="I19" s="13">
        <v>45</v>
      </c>
      <c r="J19" s="13"/>
      <c r="K19" s="13"/>
      <c r="L19" s="13"/>
      <c r="M19" s="13"/>
      <c r="N19" s="13"/>
      <c r="O19" s="13"/>
    </row>
    <row r="20" spans="1:15" x14ac:dyDescent="0.35">
      <c r="A20" s="11" t="s">
        <v>395</v>
      </c>
      <c r="B20" s="13">
        <v>52</v>
      </c>
      <c r="C20" s="13">
        <v>52</v>
      </c>
      <c r="D20" s="13">
        <v>54</v>
      </c>
      <c r="E20" s="13">
        <v>56</v>
      </c>
      <c r="F20" s="13">
        <v>56</v>
      </c>
      <c r="G20" s="13">
        <v>56</v>
      </c>
      <c r="H20" s="13">
        <v>56</v>
      </c>
      <c r="I20" s="13">
        <v>57</v>
      </c>
      <c r="J20" s="13"/>
      <c r="K20" s="13"/>
      <c r="L20" s="13"/>
      <c r="M20" s="13"/>
      <c r="N20" s="13"/>
      <c r="O20" s="13"/>
    </row>
    <row r="21" spans="1:15" ht="30" customHeight="1" x14ac:dyDescent="0.4">
      <c r="A21" s="5" t="s">
        <v>290</v>
      </c>
      <c r="B21" s="13"/>
      <c r="C21" s="13"/>
      <c r="D21" s="13"/>
      <c r="E21" s="13"/>
      <c r="F21" s="13"/>
      <c r="G21" s="13"/>
      <c r="H21" s="13"/>
      <c r="I21" s="13"/>
      <c r="J21" s="13"/>
      <c r="K21" s="13"/>
      <c r="L21" s="13"/>
      <c r="M21" s="13"/>
      <c r="N21" s="13"/>
      <c r="O21" s="13"/>
    </row>
    <row r="22" spans="1:15" x14ac:dyDescent="0.35">
      <c r="A22" s="11" t="s">
        <v>386</v>
      </c>
      <c r="B22" s="13" t="s">
        <v>387</v>
      </c>
      <c r="C22" s="13" t="s">
        <v>388</v>
      </c>
      <c r="D22" s="13" t="s">
        <v>389</v>
      </c>
      <c r="E22" s="13" t="s">
        <v>390</v>
      </c>
      <c r="F22" s="13" t="s">
        <v>391</v>
      </c>
      <c r="G22" s="13" t="s">
        <v>392</v>
      </c>
      <c r="H22" s="13" t="s">
        <v>393</v>
      </c>
      <c r="I22" s="13" t="s">
        <v>394</v>
      </c>
      <c r="J22" s="13"/>
      <c r="K22" s="13"/>
      <c r="L22" s="13"/>
      <c r="M22" s="13"/>
      <c r="N22" s="13"/>
      <c r="O22" s="13"/>
    </row>
    <row r="23" spans="1:15" x14ac:dyDescent="0.35">
      <c r="A23" s="8" t="s">
        <v>510</v>
      </c>
      <c r="B23" s="12">
        <v>2647</v>
      </c>
      <c r="C23" s="12">
        <v>1907</v>
      </c>
      <c r="D23" s="12">
        <v>1926</v>
      </c>
      <c r="E23" s="12">
        <v>1767</v>
      </c>
      <c r="F23" s="12">
        <v>1542</v>
      </c>
      <c r="G23" s="12">
        <v>1367</v>
      </c>
      <c r="H23" s="12">
        <v>1338</v>
      </c>
      <c r="I23" s="12">
        <v>1057</v>
      </c>
      <c r="J23" s="12"/>
      <c r="K23" s="12"/>
      <c r="L23" s="12"/>
      <c r="M23" s="12"/>
      <c r="N23" s="12"/>
      <c r="O23" s="12"/>
    </row>
    <row r="24" spans="1:15" x14ac:dyDescent="0.35">
      <c r="A24" s="11" t="s">
        <v>511</v>
      </c>
      <c r="B24" s="13">
        <v>186</v>
      </c>
      <c r="C24" s="13">
        <v>88</v>
      </c>
      <c r="D24" s="13">
        <v>86</v>
      </c>
      <c r="E24" s="13">
        <v>71</v>
      </c>
      <c r="F24" s="13">
        <v>61</v>
      </c>
      <c r="G24" s="13">
        <v>67</v>
      </c>
      <c r="H24" s="13">
        <v>76</v>
      </c>
      <c r="I24" s="13">
        <v>63</v>
      </c>
      <c r="J24" s="13"/>
      <c r="K24" s="13"/>
      <c r="L24" s="13"/>
      <c r="M24" s="13"/>
      <c r="N24" s="13"/>
      <c r="O24" s="13"/>
    </row>
    <row r="25" spans="1:15" x14ac:dyDescent="0.35">
      <c r="A25" s="11" t="s">
        <v>395</v>
      </c>
      <c r="B25" s="13">
        <v>2833</v>
      </c>
      <c r="C25" s="13">
        <v>1995</v>
      </c>
      <c r="D25" s="13">
        <v>2012</v>
      </c>
      <c r="E25" s="13">
        <v>1838</v>
      </c>
      <c r="F25" s="13">
        <v>1603</v>
      </c>
      <c r="G25" s="13">
        <v>1434</v>
      </c>
      <c r="H25" s="13">
        <v>1414</v>
      </c>
      <c r="I25" s="13">
        <v>1120</v>
      </c>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297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296</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561</v>
      </c>
      <c r="B7" s="15">
        <v>0.72</v>
      </c>
      <c r="C7" s="15">
        <v>0.71</v>
      </c>
      <c r="D7" s="15">
        <v>0.72</v>
      </c>
      <c r="E7" s="15">
        <v>0.72</v>
      </c>
      <c r="F7" s="15">
        <v>0.75</v>
      </c>
      <c r="G7" s="15">
        <v>0.73</v>
      </c>
      <c r="H7" s="15">
        <v>0.7</v>
      </c>
      <c r="I7" s="15">
        <v>0.69</v>
      </c>
      <c r="J7" s="15"/>
      <c r="K7" s="15"/>
      <c r="L7" s="15"/>
      <c r="M7" s="15"/>
      <c r="N7" s="15"/>
      <c r="O7" s="15"/>
    </row>
    <row r="8" spans="1:15" x14ac:dyDescent="0.35">
      <c r="A8" s="11" t="s">
        <v>560</v>
      </c>
      <c r="B8" s="16">
        <v>0.56999999999999995</v>
      </c>
      <c r="C8" s="16">
        <v>0.59</v>
      </c>
      <c r="D8" s="16">
        <v>0.56999999999999995</v>
      </c>
      <c r="E8" s="16">
        <v>0.57999999999999996</v>
      </c>
      <c r="F8" s="16">
        <v>0.56000000000000005</v>
      </c>
      <c r="G8" s="16">
        <v>0.57999999999999996</v>
      </c>
      <c r="H8" s="16">
        <v>0.59</v>
      </c>
      <c r="I8" s="16">
        <v>0.53</v>
      </c>
      <c r="J8" s="16"/>
      <c r="K8" s="16"/>
      <c r="L8" s="16"/>
      <c r="M8" s="16"/>
      <c r="N8" s="16"/>
      <c r="O8" s="16"/>
    </row>
    <row r="9" spans="1:15" x14ac:dyDescent="0.35">
      <c r="A9" s="11" t="s">
        <v>395</v>
      </c>
      <c r="B9" s="16">
        <v>0.66</v>
      </c>
      <c r="C9" s="16">
        <v>0.66</v>
      </c>
      <c r="D9" s="16">
        <v>0.66</v>
      </c>
      <c r="E9" s="16">
        <v>0.66</v>
      </c>
      <c r="F9" s="16">
        <v>0.66</v>
      </c>
      <c r="G9" s="16">
        <v>0.66</v>
      </c>
      <c r="H9" s="16">
        <v>0.65</v>
      </c>
      <c r="I9" s="16">
        <v>0.62</v>
      </c>
      <c r="J9" s="16"/>
      <c r="K9" s="16"/>
      <c r="L9" s="16"/>
      <c r="M9" s="16"/>
      <c r="N9" s="16"/>
      <c r="O9" s="16"/>
    </row>
    <row r="10" spans="1:15" ht="30" customHeight="1" x14ac:dyDescent="0.4">
      <c r="A10" s="5" t="s">
        <v>293</v>
      </c>
      <c r="B10" s="16"/>
      <c r="C10" s="16"/>
      <c r="D10" s="16"/>
      <c r="E10" s="16"/>
      <c r="F10" s="16"/>
      <c r="G10" s="16"/>
      <c r="H10" s="16"/>
      <c r="I10" s="16"/>
      <c r="J10" s="16"/>
      <c r="K10" s="16"/>
      <c r="L10" s="16"/>
      <c r="M10" s="16"/>
      <c r="N10" s="16"/>
      <c r="O10" s="16"/>
    </row>
    <row r="11" spans="1:15" x14ac:dyDescent="0.35">
      <c r="A11" s="11" t="s">
        <v>386</v>
      </c>
      <c r="B11" s="16" t="s">
        <v>387</v>
      </c>
      <c r="C11" s="16" t="s">
        <v>388</v>
      </c>
      <c r="D11" s="16" t="s">
        <v>389</v>
      </c>
      <c r="E11" s="16" t="s">
        <v>390</v>
      </c>
      <c r="F11" s="16" t="s">
        <v>391</v>
      </c>
      <c r="G11" s="16" t="s">
        <v>392</v>
      </c>
      <c r="H11" s="16" t="s">
        <v>393</v>
      </c>
      <c r="I11" s="16" t="s">
        <v>394</v>
      </c>
      <c r="J11" s="16"/>
      <c r="K11" s="16"/>
      <c r="L11" s="16"/>
      <c r="M11" s="16"/>
      <c r="N11" s="16"/>
      <c r="O11" s="16"/>
    </row>
    <row r="12" spans="1:15" x14ac:dyDescent="0.35">
      <c r="A12" s="8" t="s">
        <v>561</v>
      </c>
      <c r="B12" s="15">
        <v>0.66</v>
      </c>
      <c r="C12" s="15">
        <v>0.64</v>
      </c>
      <c r="D12" s="15">
        <v>0.66</v>
      </c>
      <c r="E12" s="15">
        <v>0.64</v>
      </c>
      <c r="F12" s="15">
        <v>0.64</v>
      </c>
      <c r="G12" s="15">
        <v>0.63</v>
      </c>
      <c r="H12" s="15">
        <v>0.63</v>
      </c>
      <c r="I12" s="15">
        <v>0.64</v>
      </c>
      <c r="J12" s="15"/>
      <c r="K12" s="15"/>
      <c r="L12" s="15"/>
      <c r="M12" s="15"/>
      <c r="N12" s="15"/>
      <c r="O12" s="15"/>
    </row>
    <row r="13" spans="1:15" x14ac:dyDescent="0.35">
      <c r="A13" s="11" t="s">
        <v>560</v>
      </c>
      <c r="B13" s="16">
        <v>0.34</v>
      </c>
      <c r="C13" s="16">
        <v>0.36</v>
      </c>
      <c r="D13" s="16">
        <v>0.34</v>
      </c>
      <c r="E13" s="16">
        <v>0.36</v>
      </c>
      <c r="F13" s="16">
        <v>0.36</v>
      </c>
      <c r="G13" s="16">
        <v>0.37</v>
      </c>
      <c r="H13" s="16">
        <v>0.37</v>
      </c>
      <c r="I13" s="16">
        <v>0.36</v>
      </c>
      <c r="J13" s="16"/>
      <c r="K13" s="16"/>
      <c r="L13" s="16"/>
      <c r="M13" s="16"/>
      <c r="N13" s="16"/>
      <c r="O13" s="16"/>
    </row>
    <row r="14" spans="1:15" x14ac:dyDescent="0.35">
      <c r="A14" s="11" t="s">
        <v>395</v>
      </c>
      <c r="B14" s="16">
        <v>1</v>
      </c>
      <c r="C14" s="16">
        <v>1</v>
      </c>
      <c r="D14" s="16">
        <v>1</v>
      </c>
      <c r="E14" s="16">
        <v>1</v>
      </c>
      <c r="F14" s="16">
        <v>1</v>
      </c>
      <c r="G14" s="16">
        <v>1</v>
      </c>
      <c r="H14" s="16">
        <v>1</v>
      </c>
      <c r="I14" s="16">
        <v>1</v>
      </c>
      <c r="J14" s="16"/>
      <c r="K14" s="16"/>
      <c r="L14" s="16"/>
      <c r="M14" s="16"/>
      <c r="N14" s="16"/>
      <c r="O14" s="16"/>
    </row>
    <row r="15" spans="1:15" ht="30" customHeight="1" x14ac:dyDescent="0.4">
      <c r="A15" s="5" t="s">
        <v>294</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561</v>
      </c>
      <c r="B17" s="12">
        <v>50</v>
      </c>
      <c r="C17" s="12">
        <v>51</v>
      </c>
      <c r="D17" s="12">
        <v>53</v>
      </c>
      <c r="E17" s="12">
        <v>55</v>
      </c>
      <c r="F17" s="12">
        <v>56</v>
      </c>
      <c r="G17" s="12">
        <v>53</v>
      </c>
      <c r="H17" s="12">
        <v>54</v>
      </c>
      <c r="I17" s="12">
        <v>57</v>
      </c>
      <c r="J17" s="12"/>
      <c r="K17" s="12"/>
      <c r="L17" s="12"/>
      <c r="M17" s="12"/>
      <c r="N17" s="12"/>
      <c r="O17" s="12"/>
    </row>
    <row r="18" spans="1:15" x14ac:dyDescent="0.35">
      <c r="A18" s="11" t="s">
        <v>560</v>
      </c>
      <c r="B18" s="13">
        <v>55</v>
      </c>
      <c r="C18" s="13">
        <v>54</v>
      </c>
      <c r="D18" s="13">
        <v>56</v>
      </c>
      <c r="E18" s="13">
        <v>56</v>
      </c>
      <c r="F18" s="13">
        <v>57</v>
      </c>
      <c r="G18" s="13">
        <v>59</v>
      </c>
      <c r="H18" s="13">
        <v>58</v>
      </c>
      <c r="I18" s="13">
        <v>58</v>
      </c>
      <c r="J18" s="13"/>
      <c r="K18" s="13"/>
      <c r="L18" s="13"/>
      <c r="M18" s="13"/>
      <c r="N18" s="13"/>
      <c r="O18" s="13"/>
    </row>
    <row r="19" spans="1:15" x14ac:dyDescent="0.35">
      <c r="A19" s="11" t="s">
        <v>395</v>
      </c>
      <c r="B19" s="13">
        <v>52</v>
      </c>
      <c r="C19" s="13">
        <v>52</v>
      </c>
      <c r="D19" s="13">
        <v>54</v>
      </c>
      <c r="E19" s="13">
        <v>55</v>
      </c>
      <c r="F19" s="13">
        <v>56</v>
      </c>
      <c r="G19" s="13">
        <v>55</v>
      </c>
      <c r="H19" s="13">
        <v>55</v>
      </c>
      <c r="I19" s="13">
        <v>57</v>
      </c>
      <c r="J19" s="13"/>
      <c r="K19" s="13"/>
      <c r="L19" s="13"/>
      <c r="M19" s="13"/>
      <c r="N19" s="13"/>
      <c r="O19" s="13"/>
    </row>
    <row r="20" spans="1:15" ht="30" customHeight="1" x14ac:dyDescent="0.4">
      <c r="A20" s="5" t="s">
        <v>295</v>
      </c>
      <c r="B20" s="13"/>
      <c r="C20" s="13"/>
      <c r="D20" s="13"/>
      <c r="E20" s="13"/>
      <c r="F20" s="13"/>
      <c r="G20" s="13"/>
      <c r="H20" s="13"/>
      <c r="I20" s="13"/>
      <c r="J20" s="13"/>
      <c r="K20" s="13"/>
      <c r="L20" s="13"/>
      <c r="M20" s="13"/>
      <c r="N20" s="13"/>
      <c r="O20" s="13"/>
    </row>
    <row r="21" spans="1:15" x14ac:dyDescent="0.35">
      <c r="A21" s="11" t="s">
        <v>386</v>
      </c>
      <c r="B21" s="13" t="s">
        <v>387</v>
      </c>
      <c r="C21" s="13" t="s">
        <v>388</v>
      </c>
      <c r="D21" s="13" t="s">
        <v>389</v>
      </c>
      <c r="E21" s="13" t="s">
        <v>390</v>
      </c>
      <c r="F21" s="13" t="s">
        <v>391</v>
      </c>
      <c r="G21" s="13" t="s">
        <v>392</v>
      </c>
      <c r="H21" s="13" t="s">
        <v>393</v>
      </c>
      <c r="I21" s="13" t="s">
        <v>394</v>
      </c>
      <c r="J21" s="13"/>
      <c r="K21" s="13"/>
      <c r="L21" s="13"/>
      <c r="M21" s="13"/>
      <c r="N21" s="13"/>
      <c r="O21" s="13"/>
    </row>
    <row r="22" spans="1:15" x14ac:dyDescent="0.35">
      <c r="A22" s="8" t="s">
        <v>561</v>
      </c>
      <c r="B22" s="12">
        <v>1724</v>
      </c>
      <c r="C22" s="12">
        <v>1209</v>
      </c>
      <c r="D22" s="12">
        <v>1255</v>
      </c>
      <c r="E22" s="12">
        <v>1109</v>
      </c>
      <c r="F22" s="12">
        <v>994</v>
      </c>
      <c r="G22" s="12">
        <v>935</v>
      </c>
      <c r="H22" s="12">
        <v>905</v>
      </c>
      <c r="I22" s="12">
        <v>737</v>
      </c>
      <c r="J22" s="12"/>
      <c r="K22" s="12"/>
      <c r="L22" s="12"/>
      <c r="M22" s="12"/>
      <c r="N22" s="12"/>
      <c r="O22" s="12"/>
    </row>
    <row r="23" spans="1:15" x14ac:dyDescent="0.35">
      <c r="A23" s="11" t="s">
        <v>560</v>
      </c>
      <c r="B23" s="13">
        <v>1109</v>
      </c>
      <c r="C23" s="13">
        <v>786</v>
      </c>
      <c r="D23" s="13">
        <v>814</v>
      </c>
      <c r="E23" s="13">
        <v>781</v>
      </c>
      <c r="F23" s="13">
        <v>702</v>
      </c>
      <c r="G23" s="13">
        <v>672</v>
      </c>
      <c r="H23" s="13">
        <v>609</v>
      </c>
      <c r="I23" s="13">
        <v>492</v>
      </c>
      <c r="J23" s="13"/>
      <c r="K23" s="13"/>
      <c r="L23" s="13"/>
      <c r="M23" s="13"/>
      <c r="N23" s="13"/>
      <c r="O23" s="13"/>
    </row>
    <row r="24" spans="1:15" x14ac:dyDescent="0.35">
      <c r="A24" s="11" t="s">
        <v>395</v>
      </c>
      <c r="B24" s="13">
        <v>2833</v>
      </c>
      <c r="C24" s="13">
        <v>1995</v>
      </c>
      <c r="D24" s="13">
        <v>2069</v>
      </c>
      <c r="E24" s="13">
        <v>1890</v>
      </c>
      <c r="F24" s="13">
        <v>1696</v>
      </c>
      <c r="G24" s="13">
        <v>1607</v>
      </c>
      <c r="H24" s="13">
        <v>1514</v>
      </c>
      <c r="I24" s="13">
        <v>1229</v>
      </c>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302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ht="43.5" x14ac:dyDescent="0.35">
      <c r="A4" s="8" t="s">
        <v>533</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301</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534</v>
      </c>
      <c r="B8" s="15">
        <v>0.7</v>
      </c>
      <c r="C8" s="15">
        <v>0.68</v>
      </c>
      <c r="D8" s="15">
        <v>0.71</v>
      </c>
      <c r="E8" s="15">
        <v>0.72</v>
      </c>
      <c r="F8" s="15">
        <v>0.68</v>
      </c>
      <c r="G8" s="15">
        <v>0.72</v>
      </c>
      <c r="H8" s="15">
        <v>0.73</v>
      </c>
      <c r="I8" s="15">
        <v>0.7</v>
      </c>
      <c r="J8" s="15"/>
      <c r="K8" s="15"/>
      <c r="L8" s="15"/>
      <c r="M8" s="15"/>
      <c r="N8" s="15"/>
      <c r="O8" s="15"/>
    </row>
    <row r="9" spans="1:15" x14ac:dyDescent="0.35">
      <c r="A9" s="11" t="s">
        <v>535</v>
      </c>
      <c r="B9" s="16">
        <v>0.65</v>
      </c>
      <c r="C9" s="16">
        <v>0.66</v>
      </c>
      <c r="D9" s="16">
        <v>0.66</v>
      </c>
      <c r="E9" s="16">
        <v>0.65</v>
      </c>
      <c r="F9" s="16">
        <v>0.66</v>
      </c>
      <c r="G9" s="16">
        <v>0.65</v>
      </c>
      <c r="H9" s="16">
        <v>0.64</v>
      </c>
      <c r="I9" s="16">
        <v>0.61</v>
      </c>
      <c r="J9" s="16"/>
      <c r="K9" s="16"/>
      <c r="L9" s="16"/>
      <c r="M9" s="16"/>
      <c r="N9" s="16"/>
      <c r="O9" s="16"/>
    </row>
    <row r="10" spans="1:15" x14ac:dyDescent="0.35">
      <c r="A10" s="11" t="s">
        <v>395</v>
      </c>
      <c r="B10" s="16">
        <v>0.66</v>
      </c>
      <c r="C10" s="16">
        <v>0.66</v>
      </c>
      <c r="D10" s="16">
        <v>0.66</v>
      </c>
      <c r="E10" s="16">
        <v>0.66</v>
      </c>
      <c r="F10" s="16">
        <v>0.66</v>
      </c>
      <c r="G10" s="16">
        <v>0.66</v>
      </c>
      <c r="H10" s="16">
        <v>0.65</v>
      </c>
      <c r="I10" s="16">
        <v>0.62</v>
      </c>
      <c r="J10" s="16"/>
      <c r="K10" s="16"/>
      <c r="L10" s="16"/>
      <c r="M10" s="16"/>
      <c r="N10" s="16"/>
      <c r="O10" s="16"/>
    </row>
    <row r="11" spans="1:15" ht="30" customHeight="1" x14ac:dyDescent="0.4">
      <c r="A11" s="5" t="s">
        <v>298</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534</v>
      </c>
      <c r="B13" s="15">
        <v>0.28000000000000003</v>
      </c>
      <c r="C13" s="15">
        <v>0.13</v>
      </c>
      <c r="D13" s="15">
        <v>0.14000000000000001</v>
      </c>
      <c r="E13" s="15">
        <v>0.18</v>
      </c>
      <c r="F13" s="15">
        <v>0.15</v>
      </c>
      <c r="G13" s="15">
        <v>0.17</v>
      </c>
      <c r="H13" s="15">
        <v>0.19</v>
      </c>
      <c r="I13" s="15">
        <v>0.2</v>
      </c>
      <c r="J13" s="15"/>
      <c r="K13" s="15"/>
      <c r="L13" s="15"/>
      <c r="M13" s="15"/>
      <c r="N13" s="15"/>
      <c r="O13" s="15"/>
    </row>
    <row r="14" spans="1:15" x14ac:dyDescent="0.35">
      <c r="A14" s="11" t="s">
        <v>535</v>
      </c>
      <c r="B14" s="16">
        <v>0.72</v>
      </c>
      <c r="C14" s="16">
        <v>0.87</v>
      </c>
      <c r="D14" s="16">
        <v>0.86</v>
      </c>
      <c r="E14" s="16">
        <v>0.82</v>
      </c>
      <c r="F14" s="16">
        <v>0.85</v>
      </c>
      <c r="G14" s="16">
        <v>0.83</v>
      </c>
      <c r="H14" s="16">
        <v>0.81</v>
      </c>
      <c r="I14" s="16">
        <v>0.8</v>
      </c>
      <c r="J14" s="16"/>
      <c r="K14" s="16"/>
      <c r="L14" s="16"/>
      <c r="M14" s="16"/>
      <c r="N14" s="16"/>
      <c r="O14" s="16"/>
    </row>
    <row r="15" spans="1:15" x14ac:dyDescent="0.35">
      <c r="A15" s="11" t="s">
        <v>395</v>
      </c>
      <c r="B15" s="16">
        <v>1</v>
      </c>
      <c r="C15" s="16">
        <v>1</v>
      </c>
      <c r="D15" s="16">
        <v>1</v>
      </c>
      <c r="E15" s="16">
        <v>1</v>
      </c>
      <c r="F15" s="16">
        <v>1</v>
      </c>
      <c r="G15" s="16">
        <v>1</v>
      </c>
      <c r="H15" s="16">
        <v>1</v>
      </c>
      <c r="I15" s="16">
        <v>1</v>
      </c>
      <c r="J15" s="16"/>
      <c r="K15" s="16"/>
      <c r="L15" s="16"/>
      <c r="M15" s="16"/>
      <c r="N15" s="16"/>
      <c r="O15" s="16"/>
    </row>
    <row r="16" spans="1:15" ht="30" customHeight="1" x14ac:dyDescent="0.4">
      <c r="A16" s="5" t="s">
        <v>299</v>
      </c>
      <c r="B16" s="16"/>
      <c r="C16" s="16"/>
      <c r="D16" s="16"/>
      <c r="E16" s="16"/>
      <c r="F16" s="16"/>
      <c r="G16" s="16"/>
      <c r="H16" s="16"/>
      <c r="I16" s="16"/>
      <c r="J16" s="16"/>
      <c r="K16" s="16"/>
      <c r="L16" s="16"/>
      <c r="M16" s="16"/>
      <c r="N16" s="16"/>
      <c r="O16" s="16"/>
    </row>
    <row r="17" spans="1:15" x14ac:dyDescent="0.35">
      <c r="A17" s="11" t="s">
        <v>386</v>
      </c>
      <c r="B17" s="16" t="s">
        <v>387</v>
      </c>
      <c r="C17" s="16" t="s">
        <v>388</v>
      </c>
      <c r="D17" s="16" t="s">
        <v>389</v>
      </c>
      <c r="E17" s="16" t="s">
        <v>390</v>
      </c>
      <c r="F17" s="16" t="s">
        <v>391</v>
      </c>
      <c r="G17" s="16" t="s">
        <v>392</v>
      </c>
      <c r="H17" s="16" t="s">
        <v>393</v>
      </c>
      <c r="I17" s="16" t="s">
        <v>394</v>
      </c>
      <c r="J17" s="16"/>
      <c r="K17" s="16"/>
      <c r="L17" s="16"/>
      <c r="M17" s="16"/>
      <c r="N17" s="16"/>
      <c r="O17" s="16"/>
    </row>
    <row r="18" spans="1:15" x14ac:dyDescent="0.35">
      <c r="A18" s="8" t="s">
        <v>534</v>
      </c>
      <c r="B18" s="12">
        <v>53</v>
      </c>
      <c r="C18" s="12">
        <v>57</v>
      </c>
      <c r="D18" s="12">
        <v>57</v>
      </c>
      <c r="E18" s="12">
        <v>57</v>
      </c>
      <c r="F18" s="12">
        <v>61</v>
      </c>
      <c r="G18" s="12">
        <v>59</v>
      </c>
      <c r="H18" s="12">
        <v>56</v>
      </c>
      <c r="I18" s="12">
        <v>58</v>
      </c>
      <c r="J18" s="12"/>
      <c r="K18" s="12"/>
      <c r="L18" s="12"/>
      <c r="M18" s="12"/>
      <c r="N18" s="12"/>
      <c r="O18" s="12"/>
    </row>
    <row r="19" spans="1:15" x14ac:dyDescent="0.35">
      <c r="A19" s="11" t="s">
        <v>535</v>
      </c>
      <c r="B19" s="13">
        <v>51</v>
      </c>
      <c r="C19" s="13">
        <v>52</v>
      </c>
      <c r="D19" s="13">
        <v>53</v>
      </c>
      <c r="E19" s="13">
        <v>55</v>
      </c>
      <c r="F19" s="13">
        <v>55</v>
      </c>
      <c r="G19" s="13">
        <v>55</v>
      </c>
      <c r="H19" s="13">
        <v>55</v>
      </c>
      <c r="I19" s="13">
        <v>57</v>
      </c>
      <c r="J19" s="13"/>
      <c r="K19" s="13"/>
      <c r="L19" s="13"/>
      <c r="M19" s="13"/>
      <c r="N19" s="13"/>
      <c r="O19" s="13"/>
    </row>
    <row r="20" spans="1:15" x14ac:dyDescent="0.35">
      <c r="A20" s="11" t="s">
        <v>395</v>
      </c>
      <c r="B20" s="13">
        <v>52</v>
      </c>
      <c r="C20" s="13">
        <v>52</v>
      </c>
      <c r="D20" s="13">
        <v>54</v>
      </c>
      <c r="E20" s="13">
        <v>55</v>
      </c>
      <c r="F20" s="13">
        <v>56</v>
      </c>
      <c r="G20" s="13">
        <v>55</v>
      </c>
      <c r="H20" s="13">
        <v>55</v>
      </c>
      <c r="I20" s="13">
        <v>57</v>
      </c>
      <c r="J20" s="13"/>
      <c r="K20" s="13"/>
      <c r="L20" s="13"/>
      <c r="M20" s="13"/>
      <c r="N20" s="13"/>
      <c r="O20" s="13"/>
    </row>
    <row r="21" spans="1:15" ht="30" customHeight="1" x14ac:dyDescent="0.4">
      <c r="A21" s="5" t="s">
        <v>300</v>
      </c>
      <c r="B21" s="13"/>
      <c r="C21" s="13"/>
      <c r="D21" s="13"/>
      <c r="E21" s="13"/>
      <c r="F21" s="13"/>
      <c r="G21" s="13"/>
      <c r="H21" s="13"/>
      <c r="I21" s="13"/>
      <c r="J21" s="13"/>
      <c r="K21" s="13"/>
      <c r="L21" s="13"/>
      <c r="M21" s="13"/>
      <c r="N21" s="13"/>
      <c r="O21" s="13"/>
    </row>
    <row r="22" spans="1:15" x14ac:dyDescent="0.35">
      <c r="A22" s="11" t="s">
        <v>386</v>
      </c>
      <c r="B22" s="13" t="s">
        <v>387</v>
      </c>
      <c r="C22" s="13" t="s">
        <v>388</v>
      </c>
      <c r="D22" s="13" t="s">
        <v>389</v>
      </c>
      <c r="E22" s="13" t="s">
        <v>390</v>
      </c>
      <c r="F22" s="13" t="s">
        <v>391</v>
      </c>
      <c r="G22" s="13" t="s">
        <v>392</v>
      </c>
      <c r="H22" s="13" t="s">
        <v>393</v>
      </c>
      <c r="I22" s="13" t="s">
        <v>394</v>
      </c>
      <c r="J22" s="13"/>
      <c r="K22" s="13"/>
      <c r="L22" s="13"/>
      <c r="M22" s="13"/>
      <c r="N22" s="13"/>
      <c r="O22" s="13"/>
    </row>
    <row r="23" spans="1:15" x14ac:dyDescent="0.35">
      <c r="A23" s="8" t="s">
        <v>534</v>
      </c>
      <c r="B23" s="12">
        <v>800</v>
      </c>
      <c r="C23" s="12">
        <v>294</v>
      </c>
      <c r="D23" s="12">
        <v>316</v>
      </c>
      <c r="E23" s="12">
        <v>334</v>
      </c>
      <c r="F23" s="12">
        <v>299</v>
      </c>
      <c r="G23" s="12">
        <v>290</v>
      </c>
      <c r="H23" s="12">
        <v>293</v>
      </c>
      <c r="I23" s="12">
        <v>270</v>
      </c>
      <c r="J23" s="12"/>
      <c r="K23" s="12"/>
      <c r="L23" s="12"/>
      <c r="M23" s="12"/>
      <c r="N23" s="12"/>
      <c r="O23" s="12"/>
    </row>
    <row r="24" spans="1:15" x14ac:dyDescent="0.35">
      <c r="A24" s="11" t="s">
        <v>535</v>
      </c>
      <c r="B24" s="13">
        <v>2029</v>
      </c>
      <c r="C24" s="13">
        <v>1695</v>
      </c>
      <c r="D24" s="13">
        <v>1751</v>
      </c>
      <c r="E24" s="13">
        <v>1555</v>
      </c>
      <c r="F24" s="13">
        <v>1393</v>
      </c>
      <c r="G24" s="13">
        <v>1317</v>
      </c>
      <c r="H24" s="13">
        <v>1219</v>
      </c>
      <c r="I24" s="13">
        <v>959</v>
      </c>
      <c r="J24" s="13"/>
      <c r="K24" s="13"/>
      <c r="L24" s="13"/>
      <c r="M24" s="13"/>
      <c r="N24" s="13"/>
      <c r="O24" s="13"/>
    </row>
    <row r="25" spans="1:15" x14ac:dyDescent="0.35">
      <c r="A25" s="11" t="s">
        <v>395</v>
      </c>
      <c r="B25" s="13">
        <v>2829</v>
      </c>
      <c r="C25" s="13">
        <v>1989</v>
      </c>
      <c r="D25" s="13">
        <v>2067</v>
      </c>
      <c r="E25" s="13">
        <v>1889</v>
      </c>
      <c r="F25" s="13">
        <v>1692</v>
      </c>
      <c r="G25" s="13">
        <v>1607</v>
      </c>
      <c r="H25" s="13">
        <v>1512</v>
      </c>
      <c r="I25" s="13">
        <v>1229</v>
      </c>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307</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551</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306</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557</v>
      </c>
      <c r="B7" s="15">
        <v>0.66</v>
      </c>
      <c r="C7" s="15">
        <v>0.65</v>
      </c>
      <c r="D7" s="15">
        <v>0.66</v>
      </c>
      <c r="E7" s="15">
        <v>0.66</v>
      </c>
      <c r="F7" s="15">
        <v>0.66</v>
      </c>
      <c r="G7" s="15">
        <v>0.66</v>
      </c>
      <c r="H7" s="15">
        <v>0.65</v>
      </c>
      <c r="I7" s="15">
        <v>0.62</v>
      </c>
      <c r="J7" s="15"/>
      <c r="K7" s="15"/>
      <c r="L7" s="15"/>
      <c r="M7" s="15"/>
      <c r="N7" s="15"/>
      <c r="O7" s="15"/>
    </row>
    <row r="8" spans="1:15" x14ac:dyDescent="0.35">
      <c r="A8" s="11" t="s">
        <v>556</v>
      </c>
      <c r="B8" s="16">
        <v>0.66</v>
      </c>
      <c r="C8" s="16">
        <v>0.69</v>
      </c>
      <c r="D8" s="16">
        <v>0.68</v>
      </c>
      <c r="E8" s="16">
        <v>0.67</v>
      </c>
      <c r="F8" s="16">
        <v>0.67</v>
      </c>
      <c r="G8" s="16">
        <v>0.67</v>
      </c>
      <c r="H8" s="16">
        <v>0.67</v>
      </c>
      <c r="I8" s="16">
        <v>0.64</v>
      </c>
      <c r="J8" s="16"/>
      <c r="K8" s="16"/>
      <c r="L8" s="16"/>
      <c r="M8" s="16"/>
      <c r="N8" s="16"/>
      <c r="O8" s="16"/>
    </row>
    <row r="9" spans="1:15" x14ac:dyDescent="0.35">
      <c r="A9" s="11" t="s">
        <v>395</v>
      </c>
      <c r="B9" s="16">
        <v>0.66</v>
      </c>
      <c r="C9" s="16">
        <v>0.66</v>
      </c>
      <c r="D9" s="16">
        <v>0.66</v>
      </c>
      <c r="E9" s="16">
        <v>0.66</v>
      </c>
      <c r="F9" s="16">
        <v>0.66</v>
      </c>
      <c r="G9" s="16">
        <v>0.66</v>
      </c>
      <c r="H9" s="16">
        <v>0.65</v>
      </c>
      <c r="I9" s="16">
        <v>0.62</v>
      </c>
      <c r="J9" s="16"/>
      <c r="K9" s="16"/>
      <c r="L9" s="16"/>
      <c r="M9" s="16"/>
      <c r="N9" s="16"/>
      <c r="O9" s="16"/>
    </row>
    <row r="10" spans="1:15" ht="30" customHeight="1" x14ac:dyDescent="0.4">
      <c r="A10" s="5" t="s">
        <v>303</v>
      </c>
      <c r="B10" s="16"/>
      <c r="C10" s="16"/>
      <c r="D10" s="16"/>
      <c r="E10" s="16"/>
      <c r="F10" s="16"/>
      <c r="G10" s="16"/>
      <c r="H10" s="16"/>
      <c r="I10" s="16"/>
      <c r="J10" s="16"/>
      <c r="K10" s="16"/>
      <c r="L10" s="16"/>
      <c r="M10" s="16"/>
      <c r="N10" s="16"/>
      <c r="O10" s="16"/>
    </row>
    <row r="11" spans="1:15" x14ac:dyDescent="0.35">
      <c r="A11" s="11" t="s">
        <v>386</v>
      </c>
      <c r="B11" s="16" t="s">
        <v>387</v>
      </c>
      <c r="C11" s="16" t="s">
        <v>388</v>
      </c>
      <c r="D11" s="16" t="s">
        <v>389</v>
      </c>
      <c r="E11" s="16" t="s">
        <v>390</v>
      </c>
      <c r="F11" s="16" t="s">
        <v>391</v>
      </c>
      <c r="G11" s="16" t="s">
        <v>392</v>
      </c>
      <c r="H11" s="16" t="s">
        <v>393</v>
      </c>
      <c r="I11" s="16" t="s">
        <v>394</v>
      </c>
      <c r="J11" s="16"/>
      <c r="K11" s="16"/>
      <c r="L11" s="16"/>
      <c r="M11" s="16"/>
      <c r="N11" s="16"/>
      <c r="O11" s="16"/>
    </row>
    <row r="12" spans="1:15" x14ac:dyDescent="0.35">
      <c r="A12" s="8" t="s">
        <v>557</v>
      </c>
      <c r="B12" s="15">
        <v>0.74</v>
      </c>
      <c r="C12" s="15">
        <v>0.72</v>
      </c>
      <c r="D12" s="15">
        <v>0.73</v>
      </c>
      <c r="E12" s="15">
        <v>0.73</v>
      </c>
      <c r="F12" s="15">
        <v>0.74</v>
      </c>
      <c r="G12" s="15">
        <v>0.74</v>
      </c>
      <c r="H12" s="15">
        <v>0.75</v>
      </c>
      <c r="I12" s="15">
        <v>0.77</v>
      </c>
      <c r="J12" s="15"/>
      <c r="K12" s="15"/>
      <c r="L12" s="15"/>
      <c r="M12" s="15"/>
      <c r="N12" s="15"/>
      <c r="O12" s="15"/>
    </row>
    <row r="13" spans="1:15" x14ac:dyDescent="0.35">
      <c r="A13" s="11" t="s">
        <v>556</v>
      </c>
      <c r="B13" s="16">
        <v>0.26</v>
      </c>
      <c r="C13" s="16">
        <v>0.28000000000000003</v>
      </c>
      <c r="D13" s="16">
        <v>0.27</v>
      </c>
      <c r="E13" s="16">
        <v>0.27</v>
      </c>
      <c r="F13" s="16">
        <v>0.26</v>
      </c>
      <c r="G13" s="16">
        <v>0.26</v>
      </c>
      <c r="H13" s="16">
        <v>0.25</v>
      </c>
      <c r="I13" s="16">
        <v>0.23</v>
      </c>
      <c r="J13" s="16"/>
      <c r="K13" s="16"/>
      <c r="L13" s="16"/>
      <c r="M13" s="16"/>
      <c r="N13" s="16"/>
      <c r="O13" s="16"/>
    </row>
    <row r="14" spans="1:15" x14ac:dyDescent="0.35">
      <c r="A14" s="11" t="s">
        <v>395</v>
      </c>
      <c r="B14" s="16">
        <v>1</v>
      </c>
      <c r="C14" s="16">
        <v>1</v>
      </c>
      <c r="D14" s="16">
        <v>1</v>
      </c>
      <c r="E14" s="16">
        <v>1</v>
      </c>
      <c r="F14" s="16">
        <v>1</v>
      </c>
      <c r="G14" s="16">
        <v>1</v>
      </c>
      <c r="H14" s="16">
        <v>1</v>
      </c>
      <c r="I14" s="16">
        <v>1</v>
      </c>
      <c r="J14" s="16"/>
      <c r="K14" s="16"/>
      <c r="L14" s="16"/>
      <c r="M14" s="16"/>
      <c r="N14" s="16"/>
      <c r="O14" s="16"/>
    </row>
    <row r="15" spans="1:15" ht="30" customHeight="1" x14ac:dyDescent="0.4">
      <c r="A15" s="5" t="s">
        <v>304</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557</v>
      </c>
      <c r="B17" s="12">
        <v>58</v>
      </c>
      <c r="C17" s="12">
        <v>59</v>
      </c>
      <c r="D17" s="12">
        <v>60</v>
      </c>
      <c r="E17" s="12">
        <v>62</v>
      </c>
      <c r="F17" s="12">
        <v>62</v>
      </c>
      <c r="G17" s="12">
        <v>61</v>
      </c>
      <c r="H17" s="12">
        <v>62</v>
      </c>
      <c r="I17" s="12">
        <v>62</v>
      </c>
      <c r="J17" s="12"/>
      <c r="K17" s="12"/>
      <c r="L17" s="12"/>
      <c r="M17" s="12"/>
      <c r="N17" s="12"/>
      <c r="O17" s="12"/>
    </row>
    <row r="18" spans="1:15" x14ac:dyDescent="0.35">
      <c r="A18" s="11" t="s">
        <v>556</v>
      </c>
      <c r="B18" s="13">
        <v>41</v>
      </c>
      <c r="C18" s="13">
        <v>42</v>
      </c>
      <c r="D18" s="13">
        <v>42</v>
      </c>
      <c r="E18" s="13">
        <v>43</v>
      </c>
      <c r="F18" s="13">
        <v>42</v>
      </c>
      <c r="G18" s="13">
        <v>42</v>
      </c>
      <c r="H18" s="13">
        <v>42</v>
      </c>
      <c r="I18" s="13">
        <v>44</v>
      </c>
      <c r="J18" s="13"/>
      <c r="K18" s="13"/>
      <c r="L18" s="13"/>
      <c r="M18" s="13"/>
      <c r="N18" s="13"/>
      <c r="O18" s="13"/>
    </row>
    <row r="19" spans="1:15" x14ac:dyDescent="0.35">
      <c r="A19" s="11" t="s">
        <v>395</v>
      </c>
      <c r="B19" s="13">
        <v>52</v>
      </c>
      <c r="C19" s="13">
        <v>52</v>
      </c>
      <c r="D19" s="13">
        <v>54</v>
      </c>
      <c r="E19" s="13">
        <v>55</v>
      </c>
      <c r="F19" s="13">
        <v>56</v>
      </c>
      <c r="G19" s="13">
        <v>55</v>
      </c>
      <c r="H19" s="13">
        <v>55</v>
      </c>
      <c r="I19" s="13">
        <v>57</v>
      </c>
      <c r="J19" s="13"/>
      <c r="K19" s="13"/>
      <c r="L19" s="13"/>
      <c r="M19" s="13"/>
      <c r="N19" s="13"/>
      <c r="O19" s="13"/>
    </row>
    <row r="20" spans="1:15" ht="30" customHeight="1" x14ac:dyDescent="0.4">
      <c r="A20" s="5" t="s">
        <v>305</v>
      </c>
      <c r="B20" s="13"/>
      <c r="C20" s="13"/>
      <c r="D20" s="13"/>
      <c r="E20" s="13"/>
      <c r="F20" s="13"/>
      <c r="G20" s="13"/>
      <c r="H20" s="13"/>
      <c r="I20" s="13"/>
      <c r="J20" s="13"/>
      <c r="K20" s="13"/>
      <c r="L20" s="13"/>
      <c r="M20" s="13"/>
      <c r="N20" s="13"/>
      <c r="O20" s="13"/>
    </row>
    <row r="21" spans="1:15" x14ac:dyDescent="0.35">
      <c r="A21" s="11" t="s">
        <v>386</v>
      </c>
      <c r="B21" s="13" t="s">
        <v>387</v>
      </c>
      <c r="C21" s="13" t="s">
        <v>388</v>
      </c>
      <c r="D21" s="13" t="s">
        <v>389</v>
      </c>
      <c r="E21" s="13" t="s">
        <v>390</v>
      </c>
      <c r="F21" s="13" t="s">
        <v>391</v>
      </c>
      <c r="G21" s="13" t="s">
        <v>392</v>
      </c>
      <c r="H21" s="13" t="s">
        <v>393</v>
      </c>
      <c r="I21" s="13" t="s">
        <v>394</v>
      </c>
      <c r="J21" s="13"/>
      <c r="K21" s="13"/>
      <c r="L21" s="13"/>
      <c r="M21" s="13"/>
      <c r="N21" s="13"/>
      <c r="O21" s="13"/>
    </row>
    <row r="22" spans="1:15" x14ac:dyDescent="0.35">
      <c r="A22" s="8" t="s">
        <v>557</v>
      </c>
      <c r="B22" s="12">
        <v>2112</v>
      </c>
      <c r="C22" s="12">
        <v>1482</v>
      </c>
      <c r="D22" s="12">
        <v>1573</v>
      </c>
      <c r="E22" s="12">
        <v>1460</v>
      </c>
      <c r="F22" s="12">
        <v>1335</v>
      </c>
      <c r="G22" s="12">
        <v>1269</v>
      </c>
      <c r="H22" s="12">
        <v>1227</v>
      </c>
      <c r="I22" s="12">
        <v>1042</v>
      </c>
      <c r="J22" s="12"/>
      <c r="K22" s="12"/>
      <c r="L22" s="12"/>
      <c r="M22" s="12"/>
      <c r="N22" s="12"/>
      <c r="O22" s="12"/>
    </row>
    <row r="23" spans="1:15" x14ac:dyDescent="0.35">
      <c r="A23" s="11" t="s">
        <v>556</v>
      </c>
      <c r="B23" s="13">
        <v>721</v>
      </c>
      <c r="C23" s="13">
        <v>513</v>
      </c>
      <c r="D23" s="13">
        <v>496</v>
      </c>
      <c r="E23" s="13">
        <v>430</v>
      </c>
      <c r="F23" s="13">
        <v>361</v>
      </c>
      <c r="G23" s="13">
        <v>338</v>
      </c>
      <c r="H23" s="13">
        <v>287</v>
      </c>
      <c r="I23" s="13">
        <v>187</v>
      </c>
      <c r="J23" s="13"/>
      <c r="K23" s="13"/>
      <c r="L23" s="13"/>
      <c r="M23" s="13"/>
      <c r="N23" s="13"/>
      <c r="O23" s="13"/>
    </row>
    <row r="24" spans="1:15" x14ac:dyDescent="0.35">
      <c r="A24" s="11" t="s">
        <v>395</v>
      </c>
      <c r="B24" s="13">
        <v>2833</v>
      </c>
      <c r="C24" s="13">
        <v>1995</v>
      </c>
      <c r="D24" s="13">
        <v>2069</v>
      </c>
      <c r="E24" s="13">
        <v>1890</v>
      </c>
      <c r="F24" s="13">
        <v>1696</v>
      </c>
      <c r="G24" s="13">
        <v>1607</v>
      </c>
      <c r="H24" s="13">
        <v>1514</v>
      </c>
      <c r="I24" s="13">
        <v>1229</v>
      </c>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311</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568</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310</v>
      </c>
      <c r="B6" s="9"/>
      <c r="C6" s="9"/>
      <c r="D6" s="9"/>
      <c r="E6" s="9"/>
      <c r="F6" s="9"/>
      <c r="G6" s="9"/>
      <c r="H6" s="9"/>
      <c r="I6" s="9"/>
      <c r="J6" s="9"/>
      <c r="K6" s="9"/>
      <c r="L6" s="9"/>
      <c r="M6" s="9"/>
      <c r="N6" s="9"/>
      <c r="O6" s="9"/>
    </row>
    <row r="7" spans="1:15" x14ac:dyDescent="0.35">
      <c r="A7" s="11" t="s">
        <v>467</v>
      </c>
      <c r="B7" s="9" t="s">
        <v>416</v>
      </c>
      <c r="C7" s="9" t="s">
        <v>417</v>
      </c>
      <c r="D7" s="9" t="s">
        <v>418</v>
      </c>
      <c r="E7" s="9" t="s">
        <v>419</v>
      </c>
      <c r="F7" s="9" t="s">
        <v>420</v>
      </c>
      <c r="G7" s="9" t="s">
        <v>421</v>
      </c>
      <c r="H7" s="9" t="s">
        <v>422</v>
      </c>
      <c r="I7" s="9" t="s">
        <v>423</v>
      </c>
      <c r="J7" s="9" t="s">
        <v>424</v>
      </c>
      <c r="K7" s="9" t="s">
        <v>425</v>
      </c>
      <c r="L7" s="9"/>
      <c r="M7" s="9"/>
      <c r="N7" s="9"/>
      <c r="O7" s="9"/>
    </row>
    <row r="8" spans="1:15" x14ac:dyDescent="0.35">
      <c r="A8" s="8" t="s">
        <v>394</v>
      </c>
      <c r="B8" s="12">
        <v>3400</v>
      </c>
      <c r="C8" s="12">
        <v>10000</v>
      </c>
      <c r="D8" s="12">
        <v>18800</v>
      </c>
      <c r="E8" s="12">
        <v>36900</v>
      </c>
      <c r="F8" s="12">
        <v>56100</v>
      </c>
      <c r="G8" s="12">
        <v>89800</v>
      </c>
      <c r="H8" s="12">
        <v>126100</v>
      </c>
      <c r="I8" s="12">
        <v>166000</v>
      </c>
      <c r="J8" s="12">
        <v>257500</v>
      </c>
      <c r="K8" s="12">
        <v>405300</v>
      </c>
      <c r="L8" s="12"/>
      <c r="M8" s="12"/>
      <c r="N8" s="12"/>
      <c r="O8" s="12"/>
    </row>
    <row r="9" spans="1:15" ht="30" customHeight="1" x14ac:dyDescent="0.4">
      <c r="A9" s="5" t="s">
        <v>308</v>
      </c>
      <c r="B9" s="13"/>
      <c r="C9" s="13"/>
      <c r="D9" s="13"/>
      <c r="E9" s="13"/>
      <c r="F9" s="13"/>
      <c r="G9" s="13"/>
      <c r="H9" s="13"/>
      <c r="I9" s="13"/>
      <c r="J9" s="13"/>
      <c r="K9" s="13"/>
      <c r="L9" s="13"/>
      <c r="M9" s="13"/>
      <c r="N9" s="13"/>
      <c r="O9" s="13"/>
    </row>
    <row r="10" spans="1:15" x14ac:dyDescent="0.35">
      <c r="A10" s="11" t="s">
        <v>467</v>
      </c>
      <c r="B10" s="13" t="s">
        <v>416</v>
      </c>
      <c r="C10" s="13" t="s">
        <v>417</v>
      </c>
      <c r="D10" s="13" t="s">
        <v>418</v>
      </c>
      <c r="E10" s="13" t="s">
        <v>419</v>
      </c>
      <c r="F10" s="13" t="s">
        <v>420</v>
      </c>
      <c r="G10" s="13" t="s">
        <v>421</v>
      </c>
      <c r="H10" s="13" t="s">
        <v>422</v>
      </c>
      <c r="I10" s="13" t="s">
        <v>423</v>
      </c>
      <c r="J10" s="13" t="s">
        <v>424</v>
      </c>
      <c r="K10" s="13" t="s">
        <v>425</v>
      </c>
      <c r="L10" s="13"/>
      <c r="M10" s="13"/>
      <c r="N10" s="13"/>
      <c r="O10" s="13"/>
    </row>
    <row r="11" spans="1:15" x14ac:dyDescent="0.35">
      <c r="A11" s="8" t="s">
        <v>394</v>
      </c>
      <c r="B11" s="12">
        <v>42</v>
      </c>
      <c r="C11" s="12">
        <v>42</v>
      </c>
      <c r="D11" s="12">
        <v>46</v>
      </c>
      <c r="E11" s="12">
        <v>50</v>
      </c>
      <c r="F11" s="12">
        <v>48</v>
      </c>
      <c r="G11" s="12">
        <v>51</v>
      </c>
      <c r="H11" s="12">
        <v>53</v>
      </c>
      <c r="I11" s="12">
        <v>55</v>
      </c>
      <c r="J11" s="12">
        <v>60</v>
      </c>
      <c r="K11" s="12">
        <v>58</v>
      </c>
      <c r="L11" s="12"/>
      <c r="M11" s="12"/>
      <c r="N11" s="12"/>
      <c r="O11" s="12"/>
    </row>
    <row r="12" spans="1:15" ht="30" customHeight="1" x14ac:dyDescent="0.4">
      <c r="A12" s="5" t="s">
        <v>309</v>
      </c>
      <c r="B12" s="13"/>
      <c r="C12" s="13"/>
      <c r="D12" s="13"/>
      <c r="E12" s="13"/>
      <c r="F12" s="13"/>
      <c r="G12" s="13"/>
      <c r="H12" s="13"/>
      <c r="I12" s="13"/>
      <c r="J12" s="13"/>
      <c r="K12" s="13"/>
      <c r="L12" s="13"/>
      <c r="M12" s="13"/>
      <c r="N12" s="13"/>
      <c r="O12" s="13"/>
    </row>
    <row r="13" spans="1:15" x14ac:dyDescent="0.35">
      <c r="A13" s="11" t="s">
        <v>467</v>
      </c>
      <c r="B13" s="13" t="s">
        <v>416</v>
      </c>
      <c r="C13" s="13" t="s">
        <v>417</v>
      </c>
      <c r="D13" s="13" t="s">
        <v>418</v>
      </c>
      <c r="E13" s="13" t="s">
        <v>419</v>
      </c>
      <c r="F13" s="13" t="s">
        <v>420</v>
      </c>
      <c r="G13" s="13" t="s">
        <v>421</v>
      </c>
      <c r="H13" s="13" t="s">
        <v>422</v>
      </c>
      <c r="I13" s="13" t="s">
        <v>423</v>
      </c>
      <c r="J13" s="13" t="s">
        <v>424</v>
      </c>
      <c r="K13" s="13" t="s">
        <v>425</v>
      </c>
      <c r="L13" s="13"/>
      <c r="M13" s="13"/>
      <c r="N13" s="13"/>
      <c r="O13" s="13"/>
    </row>
    <row r="14" spans="1:15" x14ac:dyDescent="0.35">
      <c r="A14" s="8" t="s">
        <v>394</v>
      </c>
      <c r="B14" s="12">
        <v>232</v>
      </c>
      <c r="C14" s="12">
        <v>191</v>
      </c>
      <c r="D14" s="12">
        <v>222</v>
      </c>
      <c r="E14" s="12">
        <v>225</v>
      </c>
      <c r="F14" s="12">
        <v>245</v>
      </c>
      <c r="G14" s="12">
        <v>296</v>
      </c>
      <c r="H14" s="12">
        <v>245</v>
      </c>
      <c r="I14" s="12">
        <v>323</v>
      </c>
      <c r="J14" s="12">
        <v>371</v>
      </c>
      <c r="K14" s="12">
        <v>403</v>
      </c>
      <c r="L14" s="12"/>
      <c r="M14" s="12"/>
      <c r="N14" s="12"/>
      <c r="O14" s="12"/>
    </row>
    <row r="15" spans="1:15" x14ac:dyDescent="0.35">
      <c r="A15" s="11"/>
      <c r="B15" s="13"/>
      <c r="C15" s="13"/>
      <c r="D15" s="13"/>
      <c r="E15" s="13"/>
      <c r="F15" s="13"/>
      <c r="G15" s="13"/>
      <c r="H15" s="13"/>
      <c r="I15" s="13"/>
      <c r="J15" s="13"/>
      <c r="K15" s="13"/>
      <c r="L15" s="13"/>
      <c r="M15" s="13"/>
      <c r="N15" s="13"/>
      <c r="O15" s="13"/>
    </row>
    <row r="16" spans="1:15" x14ac:dyDescent="0.35">
      <c r="A16" s="11"/>
      <c r="B16" s="13"/>
      <c r="C16" s="13"/>
      <c r="D16" s="13"/>
      <c r="E16" s="13"/>
      <c r="F16" s="13"/>
      <c r="G16" s="13"/>
      <c r="H16" s="13"/>
      <c r="I16" s="13"/>
      <c r="J16" s="13"/>
      <c r="K16" s="13"/>
      <c r="L16" s="13"/>
      <c r="M16" s="13"/>
      <c r="N16" s="13"/>
      <c r="O16" s="13"/>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315</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466</v>
      </c>
      <c r="B3" s="9"/>
      <c r="C3" s="9"/>
      <c r="D3" s="9"/>
      <c r="E3" s="9"/>
      <c r="F3" s="9"/>
      <c r="G3" s="9"/>
      <c r="H3" s="9"/>
      <c r="I3" s="9"/>
      <c r="J3" s="9"/>
      <c r="K3" s="9"/>
      <c r="L3" s="9"/>
      <c r="M3" s="9"/>
      <c r="N3" s="9"/>
      <c r="O3" s="9"/>
    </row>
    <row r="4" spans="1:15" x14ac:dyDescent="0.35">
      <c r="A4" s="8" t="s">
        <v>568</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314</v>
      </c>
      <c r="B6" s="9"/>
      <c r="C6" s="9"/>
      <c r="D6" s="9"/>
      <c r="E6" s="9"/>
      <c r="F6" s="9"/>
      <c r="G6" s="9"/>
      <c r="H6" s="9"/>
      <c r="I6" s="9"/>
      <c r="J6" s="9"/>
      <c r="K6" s="9"/>
      <c r="L6" s="9"/>
      <c r="M6" s="9"/>
      <c r="N6" s="9"/>
      <c r="O6" s="9"/>
    </row>
    <row r="7" spans="1:15" x14ac:dyDescent="0.35">
      <c r="A7" s="11" t="s">
        <v>468</v>
      </c>
      <c r="B7" s="9" t="s">
        <v>387</v>
      </c>
      <c r="C7" s="9" t="s">
        <v>388</v>
      </c>
      <c r="D7" s="9" t="s">
        <v>389</v>
      </c>
      <c r="E7" s="9" t="s">
        <v>390</v>
      </c>
      <c r="F7" s="9" t="s">
        <v>391</v>
      </c>
      <c r="G7" s="9" t="s">
        <v>392</v>
      </c>
      <c r="H7" s="9" t="s">
        <v>393</v>
      </c>
      <c r="I7" s="9" t="s">
        <v>381</v>
      </c>
      <c r="J7" s="9" t="s">
        <v>394</v>
      </c>
      <c r="K7" s="9"/>
      <c r="L7" s="9"/>
      <c r="M7" s="9"/>
      <c r="N7" s="9"/>
      <c r="O7" s="9"/>
    </row>
    <row r="8" spans="1:15" x14ac:dyDescent="0.35">
      <c r="A8" s="8" t="s">
        <v>416</v>
      </c>
      <c r="B8" s="12">
        <v>3700</v>
      </c>
      <c r="C8" s="12">
        <v>3200</v>
      </c>
      <c r="D8" s="12">
        <v>4200</v>
      </c>
      <c r="E8" s="12">
        <v>4000</v>
      </c>
      <c r="F8" s="12">
        <v>1900</v>
      </c>
      <c r="G8" s="12">
        <v>1300</v>
      </c>
      <c r="H8" s="12">
        <v>1800</v>
      </c>
      <c r="I8" s="12" t="s">
        <v>396</v>
      </c>
      <c r="J8" s="12">
        <v>3400</v>
      </c>
      <c r="K8" s="12"/>
      <c r="L8" s="12"/>
      <c r="M8" s="12"/>
      <c r="N8" s="12"/>
      <c r="O8" s="12"/>
    </row>
    <row r="9" spans="1:15" x14ac:dyDescent="0.35">
      <c r="A9" s="11" t="s">
        <v>417</v>
      </c>
      <c r="B9" s="13">
        <v>9000</v>
      </c>
      <c r="C9" s="13">
        <v>9500</v>
      </c>
      <c r="D9" s="13">
        <v>8800</v>
      </c>
      <c r="E9" s="13">
        <v>12100</v>
      </c>
      <c r="F9" s="13">
        <v>9700</v>
      </c>
      <c r="G9" s="13">
        <v>7100</v>
      </c>
      <c r="H9" s="13">
        <v>5000</v>
      </c>
      <c r="I9" s="13" t="s">
        <v>396</v>
      </c>
      <c r="J9" s="13">
        <v>10000</v>
      </c>
      <c r="K9" s="13"/>
      <c r="L9" s="13"/>
      <c r="M9" s="13"/>
      <c r="N9" s="13"/>
      <c r="O9" s="13"/>
    </row>
    <row r="10" spans="1:15" x14ac:dyDescent="0.35">
      <c r="A10" s="11" t="s">
        <v>418</v>
      </c>
      <c r="B10" s="13">
        <v>15700</v>
      </c>
      <c r="C10" s="13">
        <v>17100</v>
      </c>
      <c r="D10" s="13">
        <v>16400</v>
      </c>
      <c r="E10" s="13">
        <v>22600</v>
      </c>
      <c r="F10" s="13">
        <v>24900</v>
      </c>
      <c r="G10" s="13">
        <v>15500</v>
      </c>
      <c r="H10" s="13">
        <v>12300</v>
      </c>
      <c r="I10" s="13" t="s">
        <v>396</v>
      </c>
      <c r="J10" s="13">
        <v>18800</v>
      </c>
      <c r="K10" s="13"/>
      <c r="L10" s="13"/>
      <c r="M10" s="13"/>
      <c r="N10" s="13"/>
      <c r="O10" s="13"/>
    </row>
    <row r="11" spans="1:15" x14ac:dyDescent="0.35">
      <c r="A11" s="11" t="s">
        <v>419</v>
      </c>
      <c r="B11" s="13">
        <v>25500</v>
      </c>
      <c r="C11" s="13">
        <v>25300</v>
      </c>
      <c r="D11" s="13">
        <v>26200</v>
      </c>
      <c r="E11" s="13">
        <v>37200</v>
      </c>
      <c r="F11" s="13">
        <v>41700</v>
      </c>
      <c r="G11" s="13">
        <v>35000</v>
      </c>
      <c r="H11" s="13">
        <v>23900</v>
      </c>
      <c r="I11" s="13" t="s">
        <v>396</v>
      </c>
      <c r="J11" s="13">
        <v>36900</v>
      </c>
      <c r="K11" s="13"/>
      <c r="L11" s="13"/>
      <c r="M11" s="13"/>
      <c r="N11" s="13"/>
      <c r="O11" s="13"/>
    </row>
    <row r="12" spans="1:15" x14ac:dyDescent="0.35">
      <c r="A12" s="11" t="s">
        <v>420</v>
      </c>
      <c r="B12" s="13">
        <v>38900</v>
      </c>
      <c r="C12" s="13">
        <v>40400</v>
      </c>
      <c r="D12" s="13">
        <v>39100</v>
      </c>
      <c r="E12" s="13">
        <v>59100</v>
      </c>
      <c r="F12" s="13">
        <v>66000</v>
      </c>
      <c r="G12" s="13">
        <v>54000</v>
      </c>
      <c r="H12" s="13">
        <v>46300</v>
      </c>
      <c r="I12" s="13" t="s">
        <v>396</v>
      </c>
      <c r="J12" s="13">
        <v>56100</v>
      </c>
      <c r="K12" s="13"/>
      <c r="L12" s="13"/>
      <c r="M12" s="13"/>
      <c r="N12" s="13"/>
      <c r="O12" s="13"/>
    </row>
    <row r="13" spans="1:15" x14ac:dyDescent="0.35">
      <c r="A13" s="11" t="s">
        <v>421</v>
      </c>
      <c r="B13" s="13">
        <v>61000</v>
      </c>
      <c r="C13" s="13">
        <v>61700</v>
      </c>
      <c r="D13" s="13">
        <v>59500</v>
      </c>
      <c r="E13" s="13">
        <v>88000</v>
      </c>
      <c r="F13" s="13">
        <v>103500</v>
      </c>
      <c r="G13" s="13">
        <v>95900</v>
      </c>
      <c r="H13" s="13">
        <v>80900</v>
      </c>
      <c r="I13" s="13" t="s">
        <v>396</v>
      </c>
      <c r="J13" s="13">
        <v>89800</v>
      </c>
      <c r="K13" s="13"/>
      <c r="L13" s="13"/>
      <c r="M13" s="13"/>
      <c r="N13" s="13"/>
      <c r="O13" s="13"/>
    </row>
    <row r="14" spans="1:15" x14ac:dyDescent="0.35">
      <c r="A14" s="11" t="s">
        <v>422</v>
      </c>
      <c r="B14" s="13">
        <v>92400</v>
      </c>
      <c r="C14" s="13">
        <v>94400</v>
      </c>
      <c r="D14" s="13">
        <v>92400</v>
      </c>
      <c r="E14" s="13">
        <v>139300</v>
      </c>
      <c r="F14" s="13">
        <v>170800</v>
      </c>
      <c r="G14" s="13">
        <v>151700</v>
      </c>
      <c r="H14" s="13">
        <v>125600</v>
      </c>
      <c r="I14" s="13" t="s">
        <v>396</v>
      </c>
      <c r="J14" s="13">
        <v>126100</v>
      </c>
      <c r="K14" s="13"/>
      <c r="L14" s="13"/>
      <c r="M14" s="13"/>
      <c r="N14" s="13"/>
      <c r="O14" s="13"/>
    </row>
    <row r="15" spans="1:15" x14ac:dyDescent="0.35">
      <c r="A15" s="11" t="s">
        <v>423</v>
      </c>
      <c r="B15" s="13">
        <v>141200</v>
      </c>
      <c r="C15" s="13">
        <v>138700</v>
      </c>
      <c r="D15" s="13">
        <v>156500</v>
      </c>
      <c r="E15" s="13">
        <v>216400</v>
      </c>
      <c r="F15" s="13">
        <v>257800</v>
      </c>
      <c r="G15" s="13">
        <v>252900</v>
      </c>
      <c r="H15" s="13">
        <v>205900</v>
      </c>
      <c r="I15" s="13" t="s">
        <v>396</v>
      </c>
      <c r="J15" s="13">
        <v>166000</v>
      </c>
      <c r="K15" s="13"/>
      <c r="L15" s="13"/>
      <c r="M15" s="13"/>
      <c r="N15" s="13"/>
      <c r="O15" s="13"/>
    </row>
    <row r="16" spans="1:15" x14ac:dyDescent="0.35">
      <c r="A16" s="11" t="s">
        <v>424</v>
      </c>
      <c r="B16" s="13">
        <v>225200</v>
      </c>
      <c r="C16" s="13">
        <v>242900</v>
      </c>
      <c r="D16" s="13">
        <v>245000</v>
      </c>
      <c r="E16" s="13">
        <v>329700</v>
      </c>
      <c r="F16" s="13">
        <v>396900</v>
      </c>
      <c r="G16" s="13">
        <v>413800</v>
      </c>
      <c r="H16" s="13">
        <v>373100</v>
      </c>
      <c r="I16" s="13" t="s">
        <v>396</v>
      </c>
      <c r="J16" s="13">
        <v>257500</v>
      </c>
      <c r="K16" s="13"/>
      <c r="L16" s="13"/>
      <c r="M16" s="13"/>
      <c r="N16" s="13"/>
      <c r="O16" s="13"/>
    </row>
    <row r="17" spans="1:15" x14ac:dyDescent="0.35">
      <c r="A17" s="11" t="s">
        <v>425</v>
      </c>
      <c r="B17" s="13">
        <v>464100</v>
      </c>
      <c r="C17" s="13">
        <v>419000</v>
      </c>
      <c r="D17" s="13">
        <v>523800</v>
      </c>
      <c r="E17" s="13">
        <v>589700</v>
      </c>
      <c r="F17" s="13">
        <v>670900</v>
      </c>
      <c r="G17" s="13">
        <v>721200</v>
      </c>
      <c r="H17" s="13">
        <v>642000</v>
      </c>
      <c r="I17" s="13" t="s">
        <v>396</v>
      </c>
      <c r="J17" s="13">
        <v>405300</v>
      </c>
      <c r="K17" s="13"/>
      <c r="L17" s="13"/>
      <c r="M17" s="13"/>
      <c r="N17" s="13"/>
      <c r="O17" s="13"/>
    </row>
    <row r="18" spans="1:15" x14ac:dyDescent="0.35">
      <c r="A18" s="11" t="s">
        <v>395</v>
      </c>
      <c r="B18" s="13">
        <v>49100</v>
      </c>
      <c r="C18" s="13">
        <v>50400</v>
      </c>
      <c r="D18" s="13">
        <v>49100</v>
      </c>
      <c r="E18" s="13">
        <v>74800</v>
      </c>
      <c r="F18" s="13">
        <v>82100</v>
      </c>
      <c r="G18" s="13">
        <v>75300</v>
      </c>
      <c r="H18" s="13">
        <v>62300</v>
      </c>
      <c r="I18" s="13" t="s">
        <v>396</v>
      </c>
      <c r="J18" s="13">
        <v>68500</v>
      </c>
      <c r="K18" s="13"/>
      <c r="L18" s="13"/>
      <c r="M18" s="13"/>
      <c r="N18" s="13"/>
      <c r="O18" s="13"/>
    </row>
    <row r="19" spans="1:15" ht="30" customHeight="1" x14ac:dyDescent="0.4">
      <c r="A19" s="5" t="s">
        <v>312</v>
      </c>
      <c r="B19" s="13"/>
      <c r="C19" s="13"/>
      <c r="D19" s="13"/>
      <c r="E19" s="13"/>
      <c r="F19" s="13"/>
      <c r="G19" s="13"/>
      <c r="H19" s="13"/>
      <c r="I19" s="13"/>
      <c r="J19" s="13"/>
      <c r="K19" s="13"/>
      <c r="L19" s="13"/>
      <c r="M19" s="13"/>
      <c r="N19" s="13"/>
      <c r="O19" s="13"/>
    </row>
    <row r="20" spans="1:15" x14ac:dyDescent="0.35">
      <c r="A20" s="11" t="s">
        <v>468</v>
      </c>
      <c r="B20" s="13" t="s">
        <v>387</v>
      </c>
      <c r="C20" s="13" t="s">
        <v>388</v>
      </c>
      <c r="D20" s="13" t="s">
        <v>389</v>
      </c>
      <c r="E20" s="13" t="s">
        <v>390</v>
      </c>
      <c r="F20" s="13" t="s">
        <v>391</v>
      </c>
      <c r="G20" s="13" t="s">
        <v>392</v>
      </c>
      <c r="H20" s="13" t="s">
        <v>393</v>
      </c>
      <c r="I20" s="13" t="s">
        <v>381</v>
      </c>
      <c r="J20" s="13" t="s">
        <v>394</v>
      </c>
      <c r="K20" s="13"/>
      <c r="L20" s="13"/>
      <c r="M20" s="13"/>
      <c r="N20" s="13"/>
      <c r="O20" s="13"/>
    </row>
    <row r="21" spans="1:15" x14ac:dyDescent="0.35">
      <c r="A21" s="8" t="s">
        <v>416</v>
      </c>
      <c r="B21" s="12">
        <v>40</v>
      </c>
      <c r="C21" s="12">
        <v>35</v>
      </c>
      <c r="D21" s="12">
        <v>36</v>
      </c>
      <c r="E21" s="12">
        <v>41</v>
      </c>
      <c r="F21" s="12">
        <v>40</v>
      </c>
      <c r="G21" s="12">
        <v>35</v>
      </c>
      <c r="H21" s="12">
        <v>39</v>
      </c>
      <c r="I21" s="12" t="s">
        <v>381</v>
      </c>
      <c r="J21" s="12">
        <v>42</v>
      </c>
      <c r="K21" s="12"/>
      <c r="L21" s="12"/>
      <c r="M21" s="12"/>
      <c r="N21" s="12"/>
      <c r="O21" s="12"/>
    </row>
    <row r="22" spans="1:15" x14ac:dyDescent="0.35">
      <c r="A22" s="11" t="s">
        <v>417</v>
      </c>
      <c r="B22" s="13">
        <v>42</v>
      </c>
      <c r="C22" s="13">
        <v>40</v>
      </c>
      <c r="D22" s="13">
        <v>39</v>
      </c>
      <c r="E22" s="13">
        <v>47</v>
      </c>
      <c r="F22" s="13">
        <v>46</v>
      </c>
      <c r="G22" s="13">
        <v>41</v>
      </c>
      <c r="H22" s="13">
        <v>32</v>
      </c>
      <c r="I22" s="13" t="s">
        <v>381</v>
      </c>
      <c r="J22" s="13">
        <v>42</v>
      </c>
      <c r="K22" s="13"/>
      <c r="L22" s="13"/>
      <c r="M22" s="13"/>
      <c r="N22" s="13"/>
      <c r="O22" s="13"/>
    </row>
    <row r="23" spans="1:15" x14ac:dyDescent="0.35">
      <c r="A23" s="11" t="s">
        <v>418</v>
      </c>
      <c r="B23" s="13">
        <v>43</v>
      </c>
      <c r="C23" s="13">
        <v>44</v>
      </c>
      <c r="D23" s="13">
        <v>44</v>
      </c>
      <c r="E23" s="13">
        <v>45</v>
      </c>
      <c r="F23" s="13">
        <v>47</v>
      </c>
      <c r="G23" s="13">
        <v>42</v>
      </c>
      <c r="H23" s="13">
        <v>41</v>
      </c>
      <c r="I23" s="13" t="s">
        <v>381</v>
      </c>
      <c r="J23" s="13">
        <v>46</v>
      </c>
      <c r="K23" s="13"/>
      <c r="L23" s="13"/>
      <c r="M23" s="13"/>
      <c r="N23" s="13"/>
      <c r="O23" s="13"/>
    </row>
    <row r="24" spans="1:15" x14ac:dyDescent="0.35">
      <c r="A24" s="11" t="s">
        <v>419</v>
      </c>
      <c r="B24" s="13">
        <v>43</v>
      </c>
      <c r="C24" s="13">
        <v>43</v>
      </c>
      <c r="D24" s="13">
        <v>43</v>
      </c>
      <c r="E24" s="13">
        <v>49</v>
      </c>
      <c r="F24" s="13">
        <v>46</v>
      </c>
      <c r="G24" s="13">
        <v>46</v>
      </c>
      <c r="H24" s="13">
        <v>42</v>
      </c>
      <c r="I24" s="13" t="s">
        <v>381</v>
      </c>
      <c r="J24" s="13">
        <v>50</v>
      </c>
      <c r="K24" s="13"/>
      <c r="L24" s="13"/>
      <c r="M24" s="13"/>
      <c r="N24" s="13"/>
      <c r="O24" s="13"/>
    </row>
    <row r="25" spans="1:15" x14ac:dyDescent="0.35">
      <c r="A25" s="11" t="s">
        <v>420</v>
      </c>
      <c r="B25" s="13">
        <v>48</v>
      </c>
      <c r="C25" s="13">
        <v>46</v>
      </c>
      <c r="D25" s="13">
        <v>45</v>
      </c>
      <c r="E25" s="13">
        <v>50</v>
      </c>
      <c r="F25" s="13">
        <v>51</v>
      </c>
      <c r="G25" s="13">
        <v>45</v>
      </c>
      <c r="H25" s="13">
        <v>46</v>
      </c>
      <c r="I25" s="13" t="s">
        <v>381</v>
      </c>
      <c r="J25" s="13">
        <v>48</v>
      </c>
      <c r="K25" s="13"/>
      <c r="L25" s="13"/>
      <c r="M25" s="13"/>
      <c r="N25" s="13"/>
      <c r="O25" s="13"/>
    </row>
    <row r="26" spans="1:15" x14ac:dyDescent="0.35">
      <c r="A26" s="11" t="s">
        <v>421</v>
      </c>
      <c r="B26" s="13">
        <v>49</v>
      </c>
      <c r="C26" s="13">
        <v>49</v>
      </c>
      <c r="D26" s="13">
        <v>50</v>
      </c>
      <c r="E26" s="13">
        <v>52</v>
      </c>
      <c r="F26" s="13">
        <v>51</v>
      </c>
      <c r="G26" s="13">
        <v>51</v>
      </c>
      <c r="H26" s="13">
        <v>51</v>
      </c>
      <c r="I26" s="13" t="s">
        <v>381</v>
      </c>
      <c r="J26" s="13">
        <v>51</v>
      </c>
      <c r="K26" s="13"/>
      <c r="L26" s="13"/>
      <c r="M26" s="13"/>
      <c r="N26" s="13"/>
      <c r="O26" s="13"/>
    </row>
    <row r="27" spans="1:15" x14ac:dyDescent="0.35">
      <c r="A27" s="11" t="s">
        <v>422</v>
      </c>
      <c r="B27" s="13">
        <v>53</v>
      </c>
      <c r="C27" s="13">
        <v>52</v>
      </c>
      <c r="D27" s="13">
        <v>53</v>
      </c>
      <c r="E27" s="13">
        <v>54</v>
      </c>
      <c r="F27" s="13">
        <v>53</v>
      </c>
      <c r="G27" s="13">
        <v>52</v>
      </c>
      <c r="H27" s="13">
        <v>51</v>
      </c>
      <c r="I27" s="13" t="s">
        <v>381</v>
      </c>
      <c r="J27" s="13">
        <v>53</v>
      </c>
      <c r="K27" s="13"/>
      <c r="L27" s="13"/>
      <c r="M27" s="13"/>
      <c r="N27" s="13"/>
      <c r="O27" s="13"/>
    </row>
    <row r="28" spans="1:15" x14ac:dyDescent="0.35">
      <c r="A28" s="11" t="s">
        <v>423</v>
      </c>
      <c r="B28" s="13">
        <v>54</v>
      </c>
      <c r="C28" s="13">
        <v>56</v>
      </c>
      <c r="D28" s="13">
        <v>54</v>
      </c>
      <c r="E28" s="13">
        <v>57</v>
      </c>
      <c r="F28" s="13">
        <v>54</v>
      </c>
      <c r="G28" s="13">
        <v>57</v>
      </c>
      <c r="H28" s="13">
        <v>59</v>
      </c>
      <c r="I28" s="13" t="s">
        <v>381</v>
      </c>
      <c r="J28" s="13">
        <v>55</v>
      </c>
      <c r="K28" s="13"/>
      <c r="L28" s="13"/>
      <c r="M28" s="13"/>
      <c r="N28" s="13"/>
      <c r="O28" s="13"/>
    </row>
    <row r="29" spans="1:15" x14ac:dyDescent="0.35">
      <c r="A29" s="11" t="s">
        <v>424</v>
      </c>
      <c r="B29" s="13">
        <v>55</v>
      </c>
      <c r="C29" s="13">
        <v>55</v>
      </c>
      <c r="D29" s="13">
        <v>58</v>
      </c>
      <c r="E29" s="13">
        <v>59</v>
      </c>
      <c r="F29" s="13">
        <v>57</v>
      </c>
      <c r="G29" s="13">
        <v>57</v>
      </c>
      <c r="H29" s="13">
        <v>58</v>
      </c>
      <c r="I29" s="13" t="s">
        <v>381</v>
      </c>
      <c r="J29" s="13">
        <v>60</v>
      </c>
      <c r="K29" s="13"/>
      <c r="L29" s="13"/>
      <c r="M29" s="13"/>
      <c r="N29" s="13"/>
      <c r="O29" s="13"/>
    </row>
    <row r="30" spans="1:15" x14ac:dyDescent="0.35">
      <c r="A30" s="11" t="s">
        <v>425</v>
      </c>
      <c r="B30" s="13">
        <v>57</v>
      </c>
      <c r="C30" s="13">
        <v>57</v>
      </c>
      <c r="D30" s="13">
        <v>59</v>
      </c>
      <c r="E30" s="13">
        <v>59</v>
      </c>
      <c r="F30" s="13">
        <v>57</v>
      </c>
      <c r="G30" s="13">
        <v>58</v>
      </c>
      <c r="H30" s="13">
        <v>59</v>
      </c>
      <c r="I30" s="13" t="s">
        <v>381</v>
      </c>
      <c r="J30" s="13">
        <v>58</v>
      </c>
      <c r="K30" s="13"/>
      <c r="L30" s="13"/>
      <c r="M30" s="13"/>
      <c r="N30" s="13"/>
      <c r="O30" s="13"/>
    </row>
    <row r="31" spans="1:15" x14ac:dyDescent="0.35">
      <c r="A31" s="11" t="s">
        <v>395</v>
      </c>
      <c r="B31" s="13">
        <v>50</v>
      </c>
      <c r="C31" s="13">
        <v>50</v>
      </c>
      <c r="D31" s="13">
        <v>51</v>
      </c>
      <c r="E31" s="13">
        <v>53</v>
      </c>
      <c r="F31" s="13">
        <v>52</v>
      </c>
      <c r="G31" s="13">
        <v>50</v>
      </c>
      <c r="H31" s="13">
        <v>51</v>
      </c>
      <c r="I31" s="13" t="s">
        <v>381</v>
      </c>
      <c r="J31" s="13">
        <v>53</v>
      </c>
      <c r="K31" s="13"/>
      <c r="L31" s="13"/>
      <c r="M31" s="13"/>
      <c r="N31" s="13"/>
      <c r="O31" s="13"/>
    </row>
    <row r="32" spans="1:15" ht="30" customHeight="1" x14ac:dyDescent="0.4">
      <c r="A32" s="5" t="s">
        <v>313</v>
      </c>
      <c r="B32" s="13"/>
      <c r="C32" s="13"/>
      <c r="D32" s="13"/>
      <c r="E32" s="13"/>
      <c r="F32" s="13"/>
      <c r="G32" s="13"/>
      <c r="H32" s="13"/>
      <c r="I32" s="13"/>
      <c r="J32" s="13"/>
      <c r="K32" s="13"/>
      <c r="L32" s="13"/>
      <c r="M32" s="13"/>
      <c r="N32" s="13"/>
      <c r="O32" s="13"/>
    </row>
    <row r="33" spans="1:15" x14ac:dyDescent="0.35">
      <c r="A33" s="11" t="s">
        <v>468</v>
      </c>
      <c r="B33" s="13" t="s">
        <v>387</v>
      </c>
      <c r="C33" s="13" t="s">
        <v>388</v>
      </c>
      <c r="D33" s="13" t="s">
        <v>389</v>
      </c>
      <c r="E33" s="13" t="s">
        <v>390</v>
      </c>
      <c r="F33" s="13" t="s">
        <v>391</v>
      </c>
      <c r="G33" s="13" t="s">
        <v>392</v>
      </c>
      <c r="H33" s="13" t="s">
        <v>393</v>
      </c>
      <c r="I33" s="13" t="s">
        <v>381</v>
      </c>
      <c r="J33" s="13" t="s">
        <v>394</v>
      </c>
      <c r="K33" s="13"/>
      <c r="L33" s="13"/>
      <c r="M33" s="13"/>
      <c r="N33" s="13"/>
      <c r="O33" s="13"/>
    </row>
    <row r="34" spans="1:15" x14ac:dyDescent="0.35">
      <c r="A34" s="8" t="s">
        <v>416</v>
      </c>
      <c r="B34" s="12">
        <v>428</v>
      </c>
      <c r="C34" s="12">
        <v>278</v>
      </c>
      <c r="D34" s="12">
        <v>304</v>
      </c>
      <c r="E34" s="12">
        <v>294</v>
      </c>
      <c r="F34" s="12">
        <v>260</v>
      </c>
      <c r="G34" s="12">
        <v>251</v>
      </c>
      <c r="H34" s="12">
        <v>258</v>
      </c>
      <c r="I34" s="12" t="s">
        <v>381</v>
      </c>
      <c r="J34" s="12">
        <v>232</v>
      </c>
      <c r="K34" s="12"/>
      <c r="L34" s="12"/>
      <c r="M34" s="12"/>
      <c r="N34" s="12"/>
      <c r="O34" s="12"/>
    </row>
    <row r="35" spans="1:15" x14ac:dyDescent="0.35">
      <c r="A35" s="11" t="s">
        <v>417</v>
      </c>
      <c r="B35" s="13">
        <v>425</v>
      </c>
      <c r="C35" s="13">
        <v>313</v>
      </c>
      <c r="D35" s="13">
        <v>285</v>
      </c>
      <c r="E35" s="13">
        <v>306</v>
      </c>
      <c r="F35" s="13">
        <v>285</v>
      </c>
      <c r="G35" s="13">
        <v>293</v>
      </c>
      <c r="H35" s="13">
        <v>200</v>
      </c>
      <c r="I35" s="13" t="s">
        <v>381</v>
      </c>
      <c r="J35" s="13">
        <v>191</v>
      </c>
      <c r="K35" s="13"/>
      <c r="L35" s="13"/>
      <c r="M35" s="13"/>
      <c r="N35" s="13"/>
      <c r="O35" s="13"/>
    </row>
    <row r="36" spans="1:15" x14ac:dyDescent="0.35">
      <c r="A36" s="11" t="s">
        <v>418</v>
      </c>
      <c r="B36" s="13">
        <v>436</v>
      </c>
      <c r="C36" s="13">
        <v>303</v>
      </c>
      <c r="D36" s="13">
        <v>322</v>
      </c>
      <c r="E36" s="13">
        <v>316</v>
      </c>
      <c r="F36" s="13">
        <v>296</v>
      </c>
      <c r="G36" s="13">
        <v>261</v>
      </c>
      <c r="H36" s="13">
        <v>251</v>
      </c>
      <c r="I36" s="13" t="s">
        <v>381</v>
      </c>
      <c r="J36" s="13">
        <v>222</v>
      </c>
      <c r="K36" s="13"/>
      <c r="L36" s="13"/>
      <c r="M36" s="13"/>
      <c r="N36" s="13"/>
      <c r="O36" s="13"/>
    </row>
    <row r="37" spans="1:15" x14ac:dyDescent="0.35">
      <c r="A37" s="11" t="s">
        <v>419</v>
      </c>
      <c r="B37" s="13">
        <v>453</v>
      </c>
      <c r="C37" s="13">
        <v>335</v>
      </c>
      <c r="D37" s="13">
        <v>359</v>
      </c>
      <c r="E37" s="13">
        <v>335</v>
      </c>
      <c r="F37" s="13">
        <v>315</v>
      </c>
      <c r="G37" s="13">
        <v>341</v>
      </c>
      <c r="H37" s="13">
        <v>278</v>
      </c>
      <c r="I37" s="13" t="s">
        <v>381</v>
      </c>
      <c r="J37" s="13">
        <v>225</v>
      </c>
      <c r="K37" s="13"/>
      <c r="L37" s="13"/>
      <c r="M37" s="13"/>
      <c r="N37" s="13"/>
      <c r="O37" s="13"/>
    </row>
    <row r="38" spans="1:15" x14ac:dyDescent="0.35">
      <c r="A38" s="11" t="s">
        <v>420</v>
      </c>
      <c r="B38" s="13">
        <v>439</v>
      </c>
      <c r="C38" s="13">
        <v>355</v>
      </c>
      <c r="D38" s="13">
        <v>375</v>
      </c>
      <c r="E38" s="13">
        <v>355</v>
      </c>
      <c r="F38" s="13">
        <v>347</v>
      </c>
      <c r="G38" s="13">
        <v>307</v>
      </c>
      <c r="H38" s="13">
        <v>302</v>
      </c>
      <c r="I38" s="13" t="s">
        <v>381</v>
      </c>
      <c r="J38" s="13">
        <v>245</v>
      </c>
      <c r="K38" s="13"/>
      <c r="L38" s="13"/>
      <c r="M38" s="13"/>
      <c r="N38" s="13"/>
      <c r="O38" s="13"/>
    </row>
    <row r="39" spans="1:15" x14ac:dyDescent="0.35">
      <c r="A39" s="11" t="s">
        <v>421</v>
      </c>
      <c r="B39" s="13">
        <v>466</v>
      </c>
      <c r="C39" s="13">
        <v>349</v>
      </c>
      <c r="D39" s="13">
        <v>382</v>
      </c>
      <c r="E39" s="13">
        <v>347</v>
      </c>
      <c r="F39" s="13">
        <v>364</v>
      </c>
      <c r="G39" s="13">
        <v>343</v>
      </c>
      <c r="H39" s="13">
        <v>327</v>
      </c>
      <c r="I39" s="13" t="s">
        <v>381</v>
      </c>
      <c r="J39" s="13">
        <v>296</v>
      </c>
      <c r="K39" s="13"/>
      <c r="L39" s="13"/>
      <c r="M39" s="13"/>
      <c r="N39" s="13"/>
      <c r="O39" s="13"/>
    </row>
    <row r="40" spans="1:15" x14ac:dyDescent="0.35">
      <c r="A40" s="11" t="s">
        <v>422</v>
      </c>
      <c r="B40" s="13">
        <v>491</v>
      </c>
      <c r="C40" s="13">
        <v>374</v>
      </c>
      <c r="D40" s="13">
        <v>386</v>
      </c>
      <c r="E40" s="13">
        <v>416</v>
      </c>
      <c r="F40" s="13">
        <v>367</v>
      </c>
      <c r="G40" s="13">
        <v>412</v>
      </c>
      <c r="H40" s="13">
        <v>381</v>
      </c>
      <c r="I40" s="13" t="s">
        <v>381</v>
      </c>
      <c r="J40" s="13">
        <v>245</v>
      </c>
      <c r="K40" s="13"/>
      <c r="L40" s="13"/>
      <c r="M40" s="13"/>
      <c r="N40" s="13"/>
      <c r="O40" s="13"/>
    </row>
    <row r="41" spans="1:15" x14ac:dyDescent="0.35">
      <c r="A41" s="11" t="s">
        <v>423</v>
      </c>
      <c r="B41" s="13">
        <v>493</v>
      </c>
      <c r="C41" s="13">
        <v>434</v>
      </c>
      <c r="D41" s="13">
        <v>448</v>
      </c>
      <c r="E41" s="13">
        <v>372</v>
      </c>
      <c r="F41" s="13">
        <v>361</v>
      </c>
      <c r="G41" s="13">
        <v>397</v>
      </c>
      <c r="H41" s="13">
        <v>414</v>
      </c>
      <c r="I41" s="13" t="s">
        <v>381</v>
      </c>
      <c r="J41" s="13">
        <v>323</v>
      </c>
      <c r="K41" s="13"/>
      <c r="L41" s="13"/>
      <c r="M41" s="13"/>
      <c r="N41" s="13"/>
      <c r="O41" s="13"/>
    </row>
    <row r="42" spans="1:15" x14ac:dyDescent="0.35">
      <c r="A42" s="11" t="s">
        <v>424</v>
      </c>
      <c r="B42" s="13">
        <v>505</v>
      </c>
      <c r="C42" s="13">
        <v>418</v>
      </c>
      <c r="D42" s="13">
        <v>483</v>
      </c>
      <c r="E42" s="13">
        <v>422</v>
      </c>
      <c r="F42" s="13">
        <v>392</v>
      </c>
      <c r="G42" s="13">
        <v>429</v>
      </c>
      <c r="H42" s="13">
        <v>455</v>
      </c>
      <c r="I42" s="13" t="s">
        <v>381</v>
      </c>
      <c r="J42" s="13">
        <v>371</v>
      </c>
      <c r="K42" s="13"/>
      <c r="L42" s="13"/>
      <c r="M42" s="13"/>
      <c r="N42" s="13"/>
      <c r="O42" s="13"/>
    </row>
    <row r="43" spans="1:15" x14ac:dyDescent="0.35">
      <c r="A43" s="11" t="s">
        <v>425</v>
      </c>
      <c r="B43" s="13">
        <v>564</v>
      </c>
      <c r="C43" s="13">
        <v>477</v>
      </c>
      <c r="D43" s="13">
        <v>503</v>
      </c>
      <c r="E43" s="13">
        <v>446</v>
      </c>
      <c r="F43" s="13">
        <v>433</v>
      </c>
      <c r="G43" s="13">
        <v>433</v>
      </c>
      <c r="H43" s="13">
        <v>447</v>
      </c>
      <c r="I43" s="13" t="s">
        <v>381</v>
      </c>
      <c r="J43" s="13">
        <v>403</v>
      </c>
      <c r="K43" s="13"/>
      <c r="L43" s="13"/>
      <c r="M43" s="13"/>
      <c r="N43" s="13"/>
      <c r="O43" s="13"/>
    </row>
    <row r="44" spans="1:15" x14ac:dyDescent="0.35">
      <c r="A44" s="11" t="s">
        <v>395</v>
      </c>
      <c r="B44" s="13">
        <v>2924</v>
      </c>
      <c r="C44" s="13">
        <v>2202</v>
      </c>
      <c r="D44" s="13">
        <v>2313</v>
      </c>
      <c r="E44" s="13">
        <v>2157</v>
      </c>
      <c r="F44" s="13">
        <v>2016</v>
      </c>
      <c r="G44" s="13">
        <v>2019</v>
      </c>
      <c r="H44" s="13">
        <v>1917</v>
      </c>
      <c r="I44" s="13" t="s">
        <v>381</v>
      </c>
      <c r="J44" s="13">
        <v>1579</v>
      </c>
      <c r="K44" s="13"/>
      <c r="L44" s="13"/>
      <c r="M44" s="13"/>
      <c r="N44" s="13"/>
      <c r="O44" s="13"/>
    </row>
    <row r="45" spans="1:15" x14ac:dyDescent="0.35">
      <c r="A45" s="11"/>
      <c r="B45" s="13"/>
      <c r="C45" s="13"/>
      <c r="D45" s="13"/>
      <c r="E45" s="13"/>
      <c r="F45" s="13"/>
      <c r="G45" s="13"/>
      <c r="H45" s="13"/>
      <c r="I45" s="13"/>
      <c r="J45" s="13"/>
      <c r="K45" s="13"/>
      <c r="L45" s="13"/>
      <c r="M45" s="13"/>
      <c r="N45" s="13"/>
      <c r="O45" s="13"/>
    </row>
    <row r="46" spans="1:15" x14ac:dyDescent="0.35">
      <c r="A46" s="11"/>
      <c r="B46" s="13"/>
      <c r="C46" s="13"/>
      <c r="D46" s="13"/>
      <c r="E46" s="13"/>
      <c r="F46" s="13"/>
      <c r="G46" s="13"/>
      <c r="H46" s="13"/>
      <c r="I46" s="13"/>
      <c r="J46" s="13"/>
      <c r="K46" s="13"/>
      <c r="L46" s="13"/>
      <c r="M46" s="13"/>
      <c r="N46" s="13"/>
      <c r="O46" s="13"/>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318</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385</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317</v>
      </c>
      <c r="B5" s="9"/>
      <c r="C5" s="9"/>
      <c r="D5" s="9"/>
      <c r="E5" s="9"/>
      <c r="F5" s="9"/>
      <c r="G5" s="9"/>
      <c r="H5" s="9"/>
      <c r="I5" s="9"/>
      <c r="J5" s="9"/>
      <c r="K5" s="9"/>
      <c r="L5" s="9"/>
      <c r="M5" s="9"/>
      <c r="N5" s="9"/>
      <c r="O5" s="9"/>
    </row>
    <row r="6" spans="1:15" x14ac:dyDescent="0.35">
      <c r="A6" s="11" t="s">
        <v>386</v>
      </c>
      <c r="B6" s="9" t="s">
        <v>407</v>
      </c>
      <c r="C6" s="9" t="s">
        <v>408</v>
      </c>
      <c r="D6" s="9" t="s">
        <v>409</v>
      </c>
      <c r="E6" s="9" t="s">
        <v>410</v>
      </c>
      <c r="F6" s="9" t="s">
        <v>411</v>
      </c>
      <c r="G6" s="9" t="s">
        <v>412</v>
      </c>
      <c r="H6" s="9"/>
      <c r="I6" s="9"/>
      <c r="J6" s="9"/>
      <c r="K6" s="9"/>
      <c r="L6" s="9"/>
      <c r="M6" s="9"/>
      <c r="N6" s="9"/>
      <c r="O6" s="9"/>
    </row>
    <row r="7" spans="1:15" x14ac:dyDescent="0.35">
      <c r="A7" s="8" t="s">
        <v>514</v>
      </c>
      <c r="B7" s="15">
        <v>0.54</v>
      </c>
      <c r="C7" s="15">
        <v>0.82</v>
      </c>
      <c r="D7" s="15">
        <v>0.79</v>
      </c>
      <c r="E7" s="15">
        <v>0.61</v>
      </c>
      <c r="F7" s="15">
        <v>0.23</v>
      </c>
      <c r="G7" s="15">
        <v>0</v>
      </c>
      <c r="H7" s="15"/>
      <c r="I7" s="15"/>
      <c r="J7" s="15"/>
      <c r="K7" s="15"/>
      <c r="L7" s="15"/>
      <c r="M7" s="15"/>
      <c r="N7" s="15"/>
      <c r="O7" s="15"/>
    </row>
    <row r="8" spans="1:15" x14ac:dyDescent="0.35">
      <c r="A8" s="11" t="s">
        <v>515</v>
      </c>
      <c r="B8" s="16">
        <v>0.43</v>
      </c>
      <c r="C8" s="16">
        <v>0.71</v>
      </c>
      <c r="D8" s="16">
        <v>0.72</v>
      </c>
      <c r="E8" s="16">
        <v>0.46</v>
      </c>
      <c r="F8" s="16">
        <v>0.08</v>
      </c>
      <c r="G8" s="16">
        <v>0.03</v>
      </c>
      <c r="H8" s="16"/>
      <c r="I8" s="16"/>
      <c r="J8" s="16"/>
      <c r="K8" s="16"/>
      <c r="L8" s="16"/>
      <c r="M8" s="16"/>
      <c r="N8" s="16"/>
      <c r="O8" s="16"/>
    </row>
    <row r="9" spans="1:15" ht="30" customHeight="1" x14ac:dyDescent="0.4">
      <c r="A9" s="5" t="s">
        <v>316</v>
      </c>
      <c r="B9" s="16"/>
      <c r="C9" s="16"/>
      <c r="D9" s="16"/>
      <c r="E9" s="16"/>
      <c r="F9" s="16"/>
      <c r="G9" s="16"/>
      <c r="H9" s="16"/>
      <c r="I9" s="16"/>
      <c r="J9" s="16"/>
      <c r="K9" s="16"/>
      <c r="L9" s="16"/>
      <c r="M9" s="16"/>
      <c r="N9" s="16"/>
      <c r="O9" s="16"/>
    </row>
    <row r="10" spans="1:15" x14ac:dyDescent="0.35">
      <c r="A10" s="11" t="s">
        <v>386</v>
      </c>
      <c r="B10" s="16" t="s">
        <v>407</v>
      </c>
      <c r="C10" s="16" t="s">
        <v>408</v>
      </c>
      <c r="D10" s="16" t="s">
        <v>409</v>
      </c>
      <c r="E10" s="16" t="s">
        <v>410</v>
      </c>
      <c r="F10" s="16" t="s">
        <v>411</v>
      </c>
      <c r="G10" s="16" t="s">
        <v>412</v>
      </c>
      <c r="H10" s="16"/>
      <c r="I10" s="16"/>
      <c r="J10" s="16"/>
      <c r="K10" s="16"/>
      <c r="L10" s="16"/>
      <c r="M10" s="16"/>
      <c r="N10" s="16"/>
      <c r="O10" s="16"/>
    </row>
    <row r="11" spans="1:15" x14ac:dyDescent="0.35">
      <c r="A11" s="8" t="s">
        <v>514</v>
      </c>
      <c r="B11" s="12">
        <v>162</v>
      </c>
      <c r="C11" s="12">
        <v>107</v>
      </c>
      <c r="D11" s="12">
        <v>161</v>
      </c>
      <c r="E11" s="12">
        <v>206</v>
      </c>
      <c r="F11" s="12">
        <v>254</v>
      </c>
      <c r="G11" s="12">
        <v>160</v>
      </c>
      <c r="H11" s="12"/>
      <c r="I11" s="12"/>
      <c r="J11" s="12"/>
      <c r="K11" s="12"/>
      <c r="L11" s="12"/>
      <c r="M11" s="12"/>
      <c r="N11" s="12"/>
      <c r="O11" s="12"/>
    </row>
    <row r="12" spans="1:15" x14ac:dyDescent="0.35">
      <c r="A12" s="11" t="s">
        <v>515</v>
      </c>
      <c r="B12" s="13">
        <v>154</v>
      </c>
      <c r="C12" s="13">
        <v>99</v>
      </c>
      <c r="D12" s="13">
        <v>174</v>
      </c>
      <c r="E12" s="13">
        <v>277</v>
      </c>
      <c r="F12" s="13">
        <v>251</v>
      </c>
      <c r="G12" s="13">
        <v>179</v>
      </c>
      <c r="H12" s="13"/>
      <c r="I12" s="13"/>
      <c r="J12" s="13"/>
      <c r="K12" s="13"/>
      <c r="L12" s="13"/>
      <c r="M12" s="13"/>
      <c r="N12" s="13"/>
      <c r="O12" s="13"/>
    </row>
    <row r="13" spans="1:15" x14ac:dyDescent="0.35">
      <c r="A13" s="11"/>
      <c r="B13" s="13"/>
      <c r="C13" s="13"/>
      <c r="D13" s="13"/>
      <c r="E13" s="13"/>
      <c r="F13" s="13"/>
      <c r="G13" s="13"/>
      <c r="H13" s="13"/>
      <c r="I13" s="13"/>
      <c r="J13" s="13"/>
      <c r="K13" s="13"/>
      <c r="L13" s="13"/>
      <c r="M13" s="13"/>
      <c r="N13" s="13"/>
      <c r="O13" s="13"/>
    </row>
    <row r="14" spans="1:15" x14ac:dyDescent="0.35">
      <c r="A14" s="11"/>
      <c r="B14" s="13"/>
      <c r="C14" s="13"/>
      <c r="D14" s="13"/>
      <c r="E14" s="13"/>
      <c r="F14" s="13"/>
      <c r="G14" s="13"/>
      <c r="H14" s="13"/>
      <c r="I14" s="13"/>
      <c r="J14" s="13"/>
      <c r="K14" s="13"/>
      <c r="L14" s="13"/>
      <c r="M14" s="13"/>
      <c r="N14" s="13"/>
      <c r="O14" s="13"/>
    </row>
    <row r="15" spans="1:15" x14ac:dyDescent="0.35">
      <c r="A15" s="11"/>
      <c r="B15" s="9"/>
      <c r="C15" s="9"/>
      <c r="D15" s="9"/>
      <c r="E15" s="9"/>
      <c r="F15" s="9"/>
      <c r="G15" s="9"/>
      <c r="H15" s="9"/>
      <c r="I15" s="9"/>
      <c r="J15" s="9"/>
      <c r="K15" s="9"/>
      <c r="L15" s="9"/>
      <c r="M15" s="9"/>
      <c r="N15" s="9"/>
      <c r="O15" s="9"/>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322</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569</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321</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514</v>
      </c>
      <c r="B7" s="15">
        <v>0.48</v>
      </c>
      <c r="C7" s="15">
        <v>0.48</v>
      </c>
      <c r="D7" s="15">
        <v>0.45</v>
      </c>
      <c r="E7" s="15">
        <v>0.43</v>
      </c>
      <c r="F7" s="15">
        <v>0.48</v>
      </c>
      <c r="G7" s="15">
        <v>0.53</v>
      </c>
      <c r="H7" s="15">
        <v>0.56000000000000005</v>
      </c>
      <c r="I7" s="15">
        <v>0.55000000000000004</v>
      </c>
      <c r="J7" s="15"/>
      <c r="K7" s="15"/>
      <c r="L7" s="15"/>
      <c r="M7" s="15"/>
      <c r="N7" s="15"/>
      <c r="O7" s="15"/>
    </row>
    <row r="8" spans="1:15" x14ac:dyDescent="0.35">
      <c r="A8" s="11" t="s">
        <v>515</v>
      </c>
      <c r="B8" s="16">
        <v>0.38</v>
      </c>
      <c r="C8" s="16">
        <v>0.39</v>
      </c>
      <c r="D8" s="16">
        <v>0.4</v>
      </c>
      <c r="E8" s="16">
        <v>0.37</v>
      </c>
      <c r="F8" s="16">
        <v>0.41</v>
      </c>
      <c r="G8" s="16">
        <v>0.48</v>
      </c>
      <c r="H8" s="16">
        <v>0.51</v>
      </c>
      <c r="I8" s="16">
        <v>0.42</v>
      </c>
      <c r="J8" s="16"/>
      <c r="K8" s="16"/>
      <c r="L8" s="16"/>
      <c r="M8" s="16"/>
      <c r="N8" s="16"/>
      <c r="O8" s="16"/>
    </row>
    <row r="9" spans="1:15" ht="30" customHeight="1" x14ac:dyDescent="0.4">
      <c r="A9" s="5" t="s">
        <v>319</v>
      </c>
      <c r="B9" s="16"/>
      <c r="C9" s="16"/>
      <c r="D9" s="16"/>
      <c r="E9" s="16"/>
      <c r="F9" s="16"/>
      <c r="G9" s="16"/>
      <c r="H9" s="16"/>
      <c r="I9" s="16"/>
      <c r="J9" s="16"/>
      <c r="K9" s="16"/>
      <c r="L9" s="16"/>
      <c r="M9" s="16"/>
      <c r="N9" s="16"/>
      <c r="O9" s="16"/>
    </row>
    <row r="10" spans="1:15" x14ac:dyDescent="0.35">
      <c r="A10" s="11" t="s">
        <v>386</v>
      </c>
      <c r="B10" s="16" t="s">
        <v>387</v>
      </c>
      <c r="C10" s="16" t="s">
        <v>388</v>
      </c>
      <c r="D10" s="16" t="s">
        <v>389</v>
      </c>
      <c r="E10" s="16" t="s">
        <v>390</v>
      </c>
      <c r="F10" s="16" t="s">
        <v>391</v>
      </c>
      <c r="G10" s="16" t="s">
        <v>392</v>
      </c>
      <c r="H10" s="16" t="s">
        <v>393</v>
      </c>
      <c r="I10" s="16" t="s">
        <v>394</v>
      </c>
      <c r="J10" s="16"/>
      <c r="K10" s="16"/>
      <c r="L10" s="16"/>
      <c r="M10" s="16"/>
      <c r="N10" s="16"/>
      <c r="O10" s="16"/>
    </row>
    <row r="11" spans="1:15" x14ac:dyDescent="0.35">
      <c r="A11" s="8" t="s">
        <v>514</v>
      </c>
      <c r="B11" s="15">
        <v>0.54</v>
      </c>
      <c r="C11" s="15">
        <v>0.53</v>
      </c>
      <c r="D11" s="15">
        <v>0.52</v>
      </c>
      <c r="E11" s="15">
        <v>0.51</v>
      </c>
      <c r="F11" s="15">
        <v>0.52</v>
      </c>
      <c r="G11" s="15">
        <v>0.51</v>
      </c>
      <c r="H11" s="15">
        <v>0.51</v>
      </c>
      <c r="I11" s="15">
        <v>0.54</v>
      </c>
      <c r="J11" s="15"/>
      <c r="K11" s="15"/>
      <c r="L11" s="15"/>
      <c r="M11" s="15"/>
      <c r="N11" s="15"/>
      <c r="O11" s="15"/>
    </row>
    <row r="12" spans="1:15" x14ac:dyDescent="0.35">
      <c r="A12" s="11" t="s">
        <v>515</v>
      </c>
      <c r="B12" s="16">
        <v>0.46</v>
      </c>
      <c r="C12" s="16">
        <v>0.47</v>
      </c>
      <c r="D12" s="16">
        <v>0.48</v>
      </c>
      <c r="E12" s="16">
        <v>0.49</v>
      </c>
      <c r="F12" s="16">
        <v>0.48</v>
      </c>
      <c r="G12" s="16">
        <v>0.49</v>
      </c>
      <c r="H12" s="16">
        <v>0.49</v>
      </c>
      <c r="I12" s="16">
        <v>0.46</v>
      </c>
      <c r="J12" s="16"/>
      <c r="K12" s="16"/>
      <c r="L12" s="16"/>
      <c r="M12" s="16"/>
      <c r="N12" s="16"/>
      <c r="O12" s="16"/>
    </row>
    <row r="13" spans="1:15" ht="30" customHeight="1" x14ac:dyDescent="0.4">
      <c r="A13" s="5" t="s">
        <v>320</v>
      </c>
      <c r="B13" s="16"/>
      <c r="C13" s="16"/>
      <c r="D13" s="16"/>
      <c r="E13" s="16"/>
      <c r="F13" s="16"/>
      <c r="G13" s="16"/>
      <c r="H13" s="16"/>
      <c r="I13" s="16"/>
      <c r="J13" s="16"/>
      <c r="K13" s="16"/>
      <c r="L13" s="16"/>
      <c r="M13" s="16"/>
      <c r="N13" s="16"/>
      <c r="O13" s="16"/>
    </row>
    <row r="14" spans="1:15" x14ac:dyDescent="0.35">
      <c r="A14" s="11" t="s">
        <v>386</v>
      </c>
      <c r="B14" s="16" t="s">
        <v>387</v>
      </c>
      <c r="C14" s="16" t="s">
        <v>388</v>
      </c>
      <c r="D14" s="16" t="s">
        <v>389</v>
      </c>
      <c r="E14" s="16" t="s">
        <v>390</v>
      </c>
      <c r="F14" s="16" t="s">
        <v>391</v>
      </c>
      <c r="G14" s="16" t="s">
        <v>392</v>
      </c>
      <c r="H14" s="16" t="s">
        <v>393</v>
      </c>
      <c r="I14" s="16" t="s">
        <v>394</v>
      </c>
      <c r="J14" s="16"/>
      <c r="K14" s="16"/>
      <c r="L14" s="16"/>
      <c r="M14" s="16"/>
      <c r="N14" s="16"/>
      <c r="O14" s="16"/>
    </row>
    <row r="15" spans="1:15" x14ac:dyDescent="0.35">
      <c r="A15" s="8" t="s">
        <v>514</v>
      </c>
      <c r="B15" s="12">
        <v>2314</v>
      </c>
      <c r="C15" s="12">
        <v>1638</v>
      </c>
      <c r="D15" s="12">
        <v>1768</v>
      </c>
      <c r="E15" s="12">
        <v>1578</v>
      </c>
      <c r="F15" s="12">
        <v>1435</v>
      </c>
      <c r="G15" s="12">
        <v>1387</v>
      </c>
      <c r="H15" s="12">
        <v>1290</v>
      </c>
      <c r="I15" s="12">
        <v>1050</v>
      </c>
      <c r="J15" s="12"/>
      <c r="K15" s="12"/>
      <c r="L15" s="12"/>
      <c r="M15" s="12"/>
      <c r="N15" s="12"/>
      <c r="O15" s="12"/>
    </row>
    <row r="16" spans="1:15" x14ac:dyDescent="0.35">
      <c r="A16" s="11" t="s">
        <v>515</v>
      </c>
      <c r="B16" s="13">
        <v>2620</v>
      </c>
      <c r="C16" s="13">
        <v>1851</v>
      </c>
      <c r="D16" s="13">
        <v>1940</v>
      </c>
      <c r="E16" s="13">
        <v>1769</v>
      </c>
      <c r="F16" s="13">
        <v>1580</v>
      </c>
      <c r="G16" s="13">
        <v>1490</v>
      </c>
      <c r="H16" s="13">
        <v>1369</v>
      </c>
      <c r="I16" s="13">
        <v>1134</v>
      </c>
      <c r="J16" s="13"/>
      <c r="K16" s="13"/>
      <c r="L16" s="13"/>
      <c r="M16" s="13"/>
      <c r="N16" s="13"/>
      <c r="O16" s="13"/>
    </row>
    <row r="17" spans="1:15" x14ac:dyDescent="0.35">
      <c r="A17" s="11"/>
      <c r="B17" s="13"/>
      <c r="C17" s="13"/>
      <c r="D17" s="13"/>
      <c r="E17" s="13"/>
      <c r="F17" s="13"/>
      <c r="G17" s="13"/>
      <c r="H17" s="13"/>
      <c r="I17" s="13"/>
      <c r="J17" s="13"/>
      <c r="K17" s="13"/>
      <c r="L17" s="13"/>
      <c r="M17" s="13"/>
      <c r="N17" s="13"/>
      <c r="O17" s="13"/>
    </row>
    <row r="18" spans="1:15" x14ac:dyDescent="0.35">
      <c r="A18" s="11"/>
      <c r="B18" s="13"/>
      <c r="C18" s="13"/>
      <c r="D18" s="13"/>
      <c r="E18" s="13"/>
      <c r="F18" s="13"/>
      <c r="G18" s="13"/>
      <c r="H18" s="13"/>
      <c r="I18" s="13"/>
      <c r="J18" s="13"/>
      <c r="K18" s="13"/>
      <c r="L18" s="13"/>
      <c r="M18" s="13"/>
      <c r="N18" s="13"/>
      <c r="O18" s="13"/>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325</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29" x14ac:dyDescent="0.35">
      <c r="A3" s="8" t="s">
        <v>570</v>
      </c>
      <c r="B3" s="9"/>
      <c r="C3" s="9"/>
      <c r="D3" s="9"/>
      <c r="E3" s="9"/>
      <c r="F3" s="9"/>
      <c r="G3" s="9"/>
      <c r="H3" s="9"/>
      <c r="I3" s="9"/>
      <c r="J3" s="9"/>
      <c r="K3" s="9"/>
      <c r="L3" s="9"/>
      <c r="M3" s="9"/>
      <c r="N3" s="9"/>
      <c r="O3" s="9"/>
    </row>
    <row r="4" spans="1:15" x14ac:dyDescent="0.35">
      <c r="A4" s="8" t="s">
        <v>571</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324</v>
      </c>
      <c r="B6" s="9"/>
      <c r="C6" s="9"/>
      <c r="D6" s="9"/>
      <c r="E6" s="9"/>
      <c r="F6" s="9"/>
      <c r="G6" s="9"/>
      <c r="H6" s="9"/>
      <c r="I6" s="9"/>
      <c r="J6" s="9"/>
      <c r="K6" s="9"/>
      <c r="L6" s="9"/>
      <c r="M6" s="9"/>
      <c r="N6" s="9"/>
      <c r="O6" s="9"/>
    </row>
    <row r="7" spans="1:15" x14ac:dyDescent="0.35">
      <c r="A7" s="11" t="s">
        <v>386</v>
      </c>
      <c r="B7" s="9" t="s">
        <v>407</v>
      </c>
      <c r="C7" s="9" t="s">
        <v>408</v>
      </c>
      <c r="D7" s="9" t="s">
        <v>409</v>
      </c>
      <c r="E7" s="9" t="s">
        <v>410</v>
      </c>
      <c r="F7" s="9" t="s">
        <v>411</v>
      </c>
      <c r="G7" s="9" t="s">
        <v>412</v>
      </c>
      <c r="H7" s="9"/>
      <c r="I7" s="9"/>
      <c r="J7" s="9"/>
      <c r="K7" s="9"/>
      <c r="L7" s="9"/>
      <c r="M7" s="9"/>
      <c r="N7" s="9"/>
      <c r="O7" s="9"/>
    </row>
    <row r="8" spans="1:15" x14ac:dyDescent="0.35">
      <c r="A8" s="8" t="s">
        <v>514</v>
      </c>
      <c r="B8" s="15">
        <v>0</v>
      </c>
      <c r="C8" s="15">
        <v>0</v>
      </c>
      <c r="D8" s="15">
        <v>0</v>
      </c>
      <c r="E8" s="15">
        <v>0.27</v>
      </c>
      <c r="F8" s="15">
        <v>0.71</v>
      </c>
      <c r="G8" s="15">
        <v>0.76</v>
      </c>
      <c r="H8" s="15"/>
      <c r="I8" s="15"/>
      <c r="J8" s="15"/>
      <c r="K8" s="15"/>
      <c r="L8" s="15"/>
      <c r="M8" s="15"/>
      <c r="N8" s="15"/>
      <c r="O8" s="15"/>
    </row>
    <row r="9" spans="1:15" x14ac:dyDescent="0.35">
      <c r="A9" s="11" t="s">
        <v>515</v>
      </c>
      <c r="B9" s="16">
        <v>0</v>
      </c>
      <c r="C9" s="16">
        <v>0</v>
      </c>
      <c r="D9" s="16">
        <v>0.01</v>
      </c>
      <c r="E9" s="16">
        <v>0.24</v>
      </c>
      <c r="F9" s="16">
        <v>0.54</v>
      </c>
      <c r="G9" s="16">
        <v>0.63</v>
      </c>
      <c r="H9" s="16"/>
      <c r="I9" s="16"/>
      <c r="J9" s="16"/>
      <c r="K9" s="16"/>
      <c r="L9" s="16"/>
      <c r="M9" s="16"/>
      <c r="N9" s="16"/>
      <c r="O9" s="16"/>
    </row>
    <row r="10" spans="1:15" ht="30" customHeight="1" x14ac:dyDescent="0.4">
      <c r="A10" s="5" t="s">
        <v>323</v>
      </c>
      <c r="B10" s="16"/>
      <c r="C10" s="16"/>
      <c r="D10" s="16"/>
      <c r="E10" s="16"/>
      <c r="F10" s="16"/>
      <c r="G10" s="16"/>
      <c r="H10" s="16"/>
      <c r="I10" s="16"/>
      <c r="J10" s="16"/>
      <c r="K10" s="16"/>
      <c r="L10" s="16"/>
      <c r="M10" s="16"/>
      <c r="N10" s="16"/>
      <c r="O10" s="16"/>
    </row>
    <row r="11" spans="1:15" x14ac:dyDescent="0.35">
      <c r="A11" s="11" t="s">
        <v>386</v>
      </c>
      <c r="B11" s="16" t="s">
        <v>407</v>
      </c>
      <c r="C11" s="16" t="s">
        <v>408</v>
      </c>
      <c r="D11" s="16" t="s">
        <v>409</v>
      </c>
      <c r="E11" s="16" t="s">
        <v>410</v>
      </c>
      <c r="F11" s="16" t="s">
        <v>411</v>
      </c>
      <c r="G11" s="16" t="s">
        <v>412</v>
      </c>
      <c r="H11" s="16"/>
      <c r="I11" s="16"/>
      <c r="J11" s="16"/>
      <c r="K11" s="16"/>
      <c r="L11" s="16"/>
      <c r="M11" s="16"/>
      <c r="N11" s="16"/>
      <c r="O11" s="16"/>
    </row>
    <row r="12" spans="1:15" x14ac:dyDescent="0.35">
      <c r="A12" s="8" t="s">
        <v>514</v>
      </c>
      <c r="B12" s="12">
        <v>162</v>
      </c>
      <c r="C12" s="12">
        <v>107</v>
      </c>
      <c r="D12" s="12">
        <v>161</v>
      </c>
      <c r="E12" s="12">
        <v>206</v>
      </c>
      <c r="F12" s="12">
        <v>254</v>
      </c>
      <c r="G12" s="12">
        <v>160</v>
      </c>
      <c r="H12" s="12"/>
      <c r="I12" s="12"/>
      <c r="J12" s="12"/>
      <c r="K12" s="12"/>
      <c r="L12" s="12"/>
      <c r="M12" s="12"/>
      <c r="N12" s="12"/>
      <c r="O12" s="12"/>
    </row>
    <row r="13" spans="1:15" x14ac:dyDescent="0.35">
      <c r="A13" s="11" t="s">
        <v>515</v>
      </c>
      <c r="B13" s="13">
        <v>154</v>
      </c>
      <c r="C13" s="13">
        <v>99</v>
      </c>
      <c r="D13" s="13">
        <v>174</v>
      </c>
      <c r="E13" s="13">
        <v>277</v>
      </c>
      <c r="F13" s="13">
        <v>251</v>
      </c>
      <c r="G13" s="13">
        <v>179</v>
      </c>
      <c r="H13" s="13"/>
      <c r="I13" s="13"/>
      <c r="J13" s="13"/>
      <c r="K13" s="13"/>
      <c r="L13" s="13"/>
      <c r="M13" s="13"/>
      <c r="N13" s="13"/>
      <c r="O13" s="13"/>
    </row>
    <row r="14" spans="1:15" x14ac:dyDescent="0.35">
      <c r="A14" s="11"/>
      <c r="B14" s="13"/>
      <c r="C14" s="13"/>
      <c r="D14" s="13"/>
      <c r="E14" s="13"/>
      <c r="F14" s="13"/>
      <c r="G14" s="13"/>
      <c r="H14" s="13"/>
      <c r="I14" s="13"/>
      <c r="J14" s="13"/>
      <c r="K14" s="13"/>
      <c r="L14" s="13"/>
      <c r="M14" s="13"/>
      <c r="N14" s="13"/>
      <c r="O14" s="13"/>
    </row>
    <row r="15" spans="1:15" x14ac:dyDescent="0.35">
      <c r="A15" s="11"/>
      <c r="B15" s="13"/>
      <c r="C15" s="13"/>
      <c r="D15" s="13"/>
      <c r="E15" s="13"/>
      <c r="F15" s="13"/>
      <c r="G15" s="13"/>
      <c r="H15" s="13"/>
      <c r="I15" s="13"/>
      <c r="J15" s="13"/>
      <c r="K15" s="13"/>
      <c r="L15" s="13"/>
      <c r="M15" s="13"/>
      <c r="N15" s="13"/>
      <c r="O15" s="13"/>
    </row>
    <row r="16" spans="1:15" x14ac:dyDescent="0.35">
      <c r="A16" s="11"/>
      <c r="B16" s="9"/>
      <c r="C16" s="9"/>
      <c r="D16" s="9"/>
      <c r="E16" s="9"/>
      <c r="F16" s="9"/>
      <c r="G16" s="9"/>
      <c r="H16" s="9"/>
      <c r="I16" s="9"/>
      <c r="J16" s="9"/>
      <c r="K16" s="9"/>
      <c r="L16" s="9"/>
      <c r="M16" s="9"/>
      <c r="N16" s="9"/>
      <c r="O16" s="9"/>
    </row>
    <row r="17" spans="1:15" x14ac:dyDescent="0.35">
      <c r="A17" s="11"/>
      <c r="B17" s="9"/>
      <c r="C17" s="9"/>
      <c r="D17" s="9"/>
      <c r="E17" s="9"/>
      <c r="F17" s="9"/>
      <c r="G17" s="9"/>
      <c r="H17" s="9"/>
      <c r="I17" s="9"/>
      <c r="J17" s="9"/>
      <c r="K17" s="9"/>
      <c r="L17" s="9"/>
      <c r="M17" s="9"/>
      <c r="N17" s="9"/>
      <c r="O17" s="9"/>
    </row>
    <row r="18" spans="1:15" x14ac:dyDescent="0.35">
      <c r="A18" s="11"/>
      <c r="B18" s="9"/>
      <c r="C18" s="9"/>
      <c r="D18" s="9"/>
      <c r="E18" s="9"/>
      <c r="F18" s="9"/>
      <c r="G18" s="9"/>
      <c r="H18" s="9"/>
      <c r="I18" s="9"/>
      <c r="J18" s="9"/>
      <c r="K18" s="9"/>
      <c r="L18" s="9"/>
      <c r="M18" s="9"/>
      <c r="N18" s="9"/>
      <c r="O18" s="9"/>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2">
    <tablePart r:id="rId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329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43.5" x14ac:dyDescent="0.35">
      <c r="A3" s="8" t="s">
        <v>569</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328</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514</v>
      </c>
      <c r="B7" s="15">
        <v>0.19</v>
      </c>
      <c r="C7" s="15">
        <v>0.19</v>
      </c>
      <c r="D7" s="15">
        <v>0.2</v>
      </c>
      <c r="E7" s="15">
        <v>0.24</v>
      </c>
      <c r="F7" s="15">
        <v>0.23</v>
      </c>
      <c r="G7" s="15">
        <v>0.21</v>
      </c>
      <c r="H7" s="15">
        <v>0.2</v>
      </c>
      <c r="I7" s="15">
        <v>0.22</v>
      </c>
      <c r="J7" s="15"/>
      <c r="K7" s="15"/>
      <c r="L7" s="15"/>
      <c r="M7" s="15"/>
      <c r="N7" s="15"/>
      <c r="O7" s="15"/>
    </row>
    <row r="8" spans="1:15" x14ac:dyDescent="0.35">
      <c r="A8" s="11" t="s">
        <v>515</v>
      </c>
      <c r="B8" s="16">
        <v>0.16</v>
      </c>
      <c r="C8" s="16">
        <v>0.17</v>
      </c>
      <c r="D8" s="16">
        <v>0.18</v>
      </c>
      <c r="E8" s="16">
        <v>0.19</v>
      </c>
      <c r="F8" s="16">
        <v>0.2</v>
      </c>
      <c r="G8" s="16">
        <v>0.19</v>
      </c>
      <c r="H8" s="16">
        <v>0.18</v>
      </c>
      <c r="I8" s="16">
        <v>0.2</v>
      </c>
      <c r="J8" s="16"/>
      <c r="K8" s="16"/>
      <c r="L8" s="16"/>
      <c r="M8" s="16"/>
      <c r="N8" s="16"/>
      <c r="O8" s="16"/>
    </row>
    <row r="9" spans="1:15" ht="30" customHeight="1" x14ac:dyDescent="0.4">
      <c r="A9" s="5" t="s">
        <v>326</v>
      </c>
      <c r="B9" s="16"/>
      <c r="C9" s="16"/>
      <c r="D9" s="16"/>
      <c r="E9" s="16"/>
      <c r="F9" s="16"/>
      <c r="G9" s="16"/>
      <c r="H9" s="16"/>
      <c r="I9" s="16"/>
      <c r="J9" s="16"/>
      <c r="K9" s="16"/>
      <c r="L9" s="16"/>
      <c r="M9" s="16"/>
      <c r="N9" s="16"/>
      <c r="O9" s="16"/>
    </row>
    <row r="10" spans="1:15" x14ac:dyDescent="0.35">
      <c r="A10" s="11" t="s">
        <v>386</v>
      </c>
      <c r="B10" s="16" t="s">
        <v>387</v>
      </c>
      <c r="C10" s="16" t="s">
        <v>388</v>
      </c>
      <c r="D10" s="16" t="s">
        <v>389</v>
      </c>
      <c r="E10" s="16" t="s">
        <v>390</v>
      </c>
      <c r="F10" s="16" t="s">
        <v>391</v>
      </c>
      <c r="G10" s="16" t="s">
        <v>392</v>
      </c>
      <c r="H10" s="16" t="s">
        <v>393</v>
      </c>
      <c r="I10" s="16" t="s">
        <v>394</v>
      </c>
      <c r="J10" s="16"/>
      <c r="K10" s="16"/>
      <c r="L10" s="16"/>
      <c r="M10" s="16"/>
      <c r="N10" s="16"/>
      <c r="O10" s="16"/>
    </row>
    <row r="11" spans="1:15" x14ac:dyDescent="0.35">
      <c r="A11" s="8" t="s">
        <v>514</v>
      </c>
      <c r="B11" s="15">
        <v>0.52</v>
      </c>
      <c r="C11" s="15">
        <v>0.5</v>
      </c>
      <c r="D11" s="15">
        <v>0.52</v>
      </c>
      <c r="E11" s="15">
        <v>0.53</v>
      </c>
      <c r="F11" s="15">
        <v>0.52</v>
      </c>
      <c r="G11" s="15">
        <v>0.51</v>
      </c>
      <c r="H11" s="15">
        <v>0.52</v>
      </c>
      <c r="I11" s="15">
        <v>0.5</v>
      </c>
      <c r="J11" s="15"/>
      <c r="K11" s="15"/>
      <c r="L11" s="15"/>
      <c r="M11" s="15"/>
      <c r="N11" s="15"/>
      <c r="O11" s="15"/>
    </row>
    <row r="12" spans="1:15" x14ac:dyDescent="0.35">
      <c r="A12" s="11" t="s">
        <v>515</v>
      </c>
      <c r="B12" s="16">
        <v>0.48</v>
      </c>
      <c r="C12" s="16">
        <v>0.5</v>
      </c>
      <c r="D12" s="16">
        <v>0.48</v>
      </c>
      <c r="E12" s="16">
        <v>0.47</v>
      </c>
      <c r="F12" s="16">
        <v>0.48</v>
      </c>
      <c r="G12" s="16">
        <v>0.49</v>
      </c>
      <c r="H12" s="16">
        <v>0.48</v>
      </c>
      <c r="I12" s="16">
        <v>0.5</v>
      </c>
      <c r="J12" s="16"/>
      <c r="K12" s="16"/>
      <c r="L12" s="16"/>
      <c r="M12" s="16"/>
      <c r="N12" s="16"/>
      <c r="O12" s="16"/>
    </row>
    <row r="13" spans="1:15" ht="30" customHeight="1" x14ac:dyDescent="0.4">
      <c r="A13" s="5" t="s">
        <v>327</v>
      </c>
      <c r="B13" s="16"/>
      <c r="C13" s="16"/>
      <c r="D13" s="16"/>
      <c r="E13" s="16"/>
      <c r="F13" s="16"/>
      <c r="G13" s="16"/>
      <c r="H13" s="16"/>
      <c r="I13" s="16"/>
      <c r="J13" s="16"/>
      <c r="K13" s="16"/>
      <c r="L13" s="16"/>
      <c r="M13" s="16"/>
      <c r="N13" s="16"/>
      <c r="O13" s="16"/>
    </row>
    <row r="14" spans="1:15" x14ac:dyDescent="0.35">
      <c r="A14" s="11" t="s">
        <v>386</v>
      </c>
      <c r="B14" s="16" t="s">
        <v>387</v>
      </c>
      <c r="C14" s="16" t="s">
        <v>388</v>
      </c>
      <c r="D14" s="16" t="s">
        <v>389</v>
      </c>
      <c r="E14" s="16" t="s">
        <v>390</v>
      </c>
      <c r="F14" s="16" t="s">
        <v>391</v>
      </c>
      <c r="G14" s="16" t="s">
        <v>392</v>
      </c>
      <c r="H14" s="16" t="s">
        <v>393</v>
      </c>
      <c r="I14" s="16" t="s">
        <v>394</v>
      </c>
      <c r="J14" s="16"/>
      <c r="K14" s="16"/>
      <c r="L14" s="16"/>
      <c r="M14" s="16"/>
      <c r="N14" s="16"/>
      <c r="O14" s="16"/>
    </row>
    <row r="15" spans="1:15" x14ac:dyDescent="0.35">
      <c r="A15" s="8" t="s">
        <v>514</v>
      </c>
      <c r="B15" s="12">
        <v>2314</v>
      </c>
      <c r="C15" s="12">
        <v>1638</v>
      </c>
      <c r="D15" s="12">
        <v>1768</v>
      </c>
      <c r="E15" s="12">
        <v>1578</v>
      </c>
      <c r="F15" s="12">
        <v>1435</v>
      </c>
      <c r="G15" s="12">
        <v>1387</v>
      </c>
      <c r="H15" s="12">
        <v>1290</v>
      </c>
      <c r="I15" s="12">
        <v>1050</v>
      </c>
      <c r="J15" s="12"/>
      <c r="K15" s="12"/>
      <c r="L15" s="12"/>
      <c r="M15" s="12"/>
      <c r="N15" s="12"/>
      <c r="O15" s="12"/>
    </row>
    <row r="16" spans="1:15" x14ac:dyDescent="0.35">
      <c r="A16" s="11" t="s">
        <v>515</v>
      </c>
      <c r="B16" s="13">
        <v>2620</v>
      </c>
      <c r="C16" s="13">
        <v>1851</v>
      </c>
      <c r="D16" s="13">
        <v>1940</v>
      </c>
      <c r="E16" s="13">
        <v>1769</v>
      </c>
      <c r="F16" s="13">
        <v>1580</v>
      </c>
      <c r="G16" s="13">
        <v>1490</v>
      </c>
      <c r="H16" s="13">
        <v>1369</v>
      </c>
      <c r="I16" s="13">
        <v>1134</v>
      </c>
      <c r="J16" s="13"/>
      <c r="K16" s="13"/>
      <c r="L16" s="13"/>
      <c r="M16" s="13"/>
      <c r="N16" s="13"/>
      <c r="O16" s="13"/>
    </row>
    <row r="17" spans="1:15" x14ac:dyDescent="0.35">
      <c r="A17" s="11"/>
      <c r="B17" s="13"/>
      <c r="C17" s="13"/>
      <c r="D17" s="13"/>
      <c r="E17" s="13"/>
      <c r="F17" s="13"/>
      <c r="G17" s="13"/>
      <c r="H17" s="13"/>
      <c r="I17" s="13"/>
      <c r="J17" s="13"/>
      <c r="K17" s="13"/>
      <c r="L17" s="13"/>
      <c r="M17" s="13"/>
      <c r="N17" s="13"/>
      <c r="O17" s="13"/>
    </row>
    <row r="18" spans="1:15" x14ac:dyDescent="0.35">
      <c r="A18" s="11"/>
      <c r="B18" s="13"/>
      <c r="C18" s="13"/>
      <c r="D18" s="13"/>
      <c r="E18" s="13"/>
      <c r="F18" s="13"/>
      <c r="G18" s="13"/>
      <c r="H18" s="13"/>
      <c r="I18" s="13"/>
      <c r="J18" s="13"/>
      <c r="K18" s="13"/>
      <c r="L18" s="13"/>
      <c r="M18" s="13"/>
      <c r="N18" s="13"/>
      <c r="O18" s="13"/>
    </row>
    <row r="19" spans="1:15" x14ac:dyDescent="0.35">
      <c r="A19" s="11"/>
      <c r="B19" s="9"/>
      <c r="C19" s="9"/>
      <c r="D19" s="9"/>
      <c r="E19" s="9"/>
      <c r="F19" s="9"/>
      <c r="G19" s="9"/>
      <c r="H19" s="9"/>
      <c r="I19" s="9"/>
      <c r="J19" s="9"/>
      <c r="K19" s="9"/>
      <c r="L19" s="9"/>
      <c r="M19" s="9"/>
      <c r="N19" s="9"/>
      <c r="O19" s="9"/>
    </row>
    <row r="20" spans="1:15" x14ac:dyDescent="0.35">
      <c r="A20" s="11"/>
      <c r="B20" s="9"/>
      <c r="C20" s="9"/>
      <c r="D20" s="9"/>
      <c r="E20" s="9"/>
      <c r="F20" s="9"/>
      <c r="G20" s="9"/>
      <c r="H20" s="9"/>
      <c r="I20" s="9"/>
      <c r="J20" s="9"/>
      <c r="K20" s="9"/>
      <c r="L20" s="9"/>
      <c r="M20" s="9"/>
      <c r="N20" s="9"/>
      <c r="O20" s="9"/>
    </row>
    <row r="21" spans="1:15" x14ac:dyDescent="0.35">
      <c r="A21" s="11"/>
      <c r="B21" s="9"/>
      <c r="C21" s="9"/>
      <c r="D21" s="9"/>
      <c r="E21" s="9"/>
      <c r="F21" s="9"/>
      <c r="G21" s="9"/>
      <c r="H21" s="9"/>
      <c r="I21" s="9"/>
      <c r="J21" s="9"/>
      <c r="K21" s="9"/>
      <c r="L21" s="9"/>
      <c r="M21" s="9"/>
      <c r="N21" s="9"/>
      <c r="O21" s="9"/>
    </row>
    <row r="22" spans="1:15" x14ac:dyDescent="0.35">
      <c r="A22" s="11"/>
      <c r="B22" s="9"/>
      <c r="C22" s="9"/>
      <c r="D22" s="9"/>
      <c r="E22" s="9"/>
      <c r="F22" s="9"/>
      <c r="G22" s="9"/>
      <c r="H22" s="9"/>
      <c r="I22" s="9"/>
      <c r="J22" s="9"/>
      <c r="K22" s="9"/>
      <c r="L22" s="9"/>
      <c r="M22" s="9"/>
      <c r="N22" s="9"/>
      <c r="O22" s="9"/>
    </row>
    <row r="23" spans="1:15" x14ac:dyDescent="0.35">
      <c r="A23" s="11"/>
      <c r="B23" s="9"/>
      <c r="C23" s="9"/>
      <c r="D23" s="9"/>
      <c r="E23" s="9"/>
      <c r="F23" s="9"/>
      <c r="G23" s="9"/>
      <c r="H23" s="9"/>
      <c r="I23" s="9"/>
      <c r="J23" s="9"/>
      <c r="K23" s="9"/>
      <c r="L23" s="9"/>
      <c r="M23" s="9"/>
      <c r="N23" s="9"/>
      <c r="O23" s="9"/>
    </row>
    <row r="24" spans="1:15" x14ac:dyDescent="0.35">
      <c r="A24" s="11"/>
      <c r="B24" s="9"/>
      <c r="C24" s="9"/>
      <c r="D24" s="9"/>
      <c r="E24" s="9"/>
      <c r="F24" s="9"/>
      <c r="G24" s="9"/>
      <c r="H24" s="9"/>
      <c r="I24" s="9"/>
      <c r="J24" s="9"/>
      <c r="K24" s="9"/>
      <c r="L24" s="9"/>
      <c r="M24" s="9"/>
      <c r="N24" s="9"/>
      <c r="O24" s="9"/>
    </row>
    <row r="25" spans="1:15" x14ac:dyDescent="0.35">
      <c r="A25" s="11"/>
      <c r="B25" s="9"/>
      <c r="C25" s="9"/>
      <c r="D25" s="9"/>
      <c r="E25" s="9"/>
      <c r="F25" s="9"/>
      <c r="G25" s="9"/>
      <c r="H25" s="9"/>
      <c r="I25" s="9"/>
      <c r="J25" s="9"/>
      <c r="K25" s="9"/>
      <c r="L25" s="9"/>
      <c r="M25" s="9"/>
      <c r="N25" s="9"/>
      <c r="O25" s="9"/>
    </row>
    <row r="26" spans="1:15" x14ac:dyDescent="0.35">
      <c r="A26" s="11"/>
      <c r="B26" s="9"/>
      <c r="C26" s="9"/>
      <c r="D26" s="9"/>
      <c r="E26" s="9"/>
      <c r="F26" s="9"/>
      <c r="G26" s="9"/>
      <c r="H26" s="9"/>
      <c r="I26" s="9"/>
      <c r="J26" s="9"/>
      <c r="K26" s="9"/>
      <c r="L26" s="9"/>
      <c r="M26" s="9"/>
      <c r="N26" s="9"/>
      <c r="O26" s="9"/>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3">
    <tablePart r:id="rId1"/>
    <tablePart r:id="rId2"/>
    <tablePart r:id="rId3"/>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334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x14ac:dyDescent="0.35">
      <c r="A4" s="8" t="s">
        <v>516</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333</v>
      </c>
      <c r="B6" s="9"/>
      <c r="C6" s="9"/>
      <c r="D6" s="9"/>
      <c r="E6" s="9"/>
      <c r="F6" s="9"/>
      <c r="G6" s="9"/>
      <c r="H6" s="9"/>
      <c r="I6" s="9"/>
      <c r="J6" s="9"/>
      <c r="K6" s="9"/>
      <c r="L6" s="9"/>
      <c r="M6" s="9"/>
      <c r="N6" s="9"/>
      <c r="O6" s="9"/>
    </row>
    <row r="7" spans="1:15" x14ac:dyDescent="0.35">
      <c r="A7" s="11" t="s">
        <v>386</v>
      </c>
      <c r="B7" s="9" t="s">
        <v>391</v>
      </c>
      <c r="C7" s="9" t="s">
        <v>392</v>
      </c>
      <c r="D7" s="9" t="s">
        <v>393</v>
      </c>
      <c r="E7" s="9" t="s">
        <v>394</v>
      </c>
      <c r="F7" s="9"/>
      <c r="G7" s="9"/>
      <c r="H7" s="9"/>
      <c r="I7" s="9"/>
      <c r="J7" s="9"/>
      <c r="K7" s="9"/>
      <c r="L7" s="9"/>
      <c r="M7" s="9"/>
      <c r="N7" s="9"/>
      <c r="O7" s="9"/>
    </row>
    <row r="8" spans="1:15" x14ac:dyDescent="0.35">
      <c r="A8" s="8" t="s">
        <v>573</v>
      </c>
      <c r="B8" s="15">
        <v>0.84</v>
      </c>
      <c r="C8" s="15">
        <v>0.85</v>
      </c>
      <c r="D8" s="15">
        <v>0.85</v>
      </c>
      <c r="E8" s="15">
        <v>0.82</v>
      </c>
      <c r="F8" s="15"/>
      <c r="G8" s="15"/>
      <c r="H8" s="15"/>
      <c r="I8" s="15"/>
      <c r="J8" s="15"/>
      <c r="K8" s="15"/>
      <c r="L8" s="15"/>
      <c r="M8" s="15"/>
      <c r="N8" s="15"/>
      <c r="O8" s="15"/>
    </row>
    <row r="9" spans="1:15" x14ac:dyDescent="0.35">
      <c r="A9" s="11" t="s">
        <v>518</v>
      </c>
      <c r="B9" s="16">
        <v>0.71</v>
      </c>
      <c r="C9" s="16">
        <v>0.77</v>
      </c>
      <c r="D9" s="16">
        <v>0.79</v>
      </c>
      <c r="E9" s="16">
        <v>0.79</v>
      </c>
      <c r="F9" s="16"/>
      <c r="G9" s="16"/>
      <c r="H9" s="16"/>
      <c r="I9" s="16"/>
      <c r="J9" s="16"/>
      <c r="K9" s="16"/>
      <c r="L9" s="16"/>
      <c r="M9" s="16"/>
      <c r="N9" s="16"/>
      <c r="O9" s="16"/>
    </row>
    <row r="10" spans="1:15" x14ac:dyDescent="0.35">
      <c r="A10" s="11" t="s">
        <v>519</v>
      </c>
      <c r="B10" s="16">
        <v>0.64</v>
      </c>
      <c r="C10" s="16">
        <v>0.71</v>
      </c>
      <c r="D10" s="16">
        <v>0.72</v>
      </c>
      <c r="E10" s="16">
        <v>0.7</v>
      </c>
      <c r="F10" s="16"/>
      <c r="G10" s="16"/>
      <c r="H10" s="16"/>
      <c r="I10" s="16"/>
      <c r="J10" s="16"/>
      <c r="K10" s="16"/>
      <c r="L10" s="16"/>
      <c r="M10" s="16"/>
      <c r="N10" s="16"/>
      <c r="O10" s="16"/>
    </row>
    <row r="11" spans="1:15" x14ac:dyDescent="0.35">
      <c r="A11" s="11" t="s">
        <v>520</v>
      </c>
      <c r="B11" s="16">
        <v>0.55000000000000004</v>
      </c>
      <c r="C11" s="16">
        <v>0.57999999999999996</v>
      </c>
      <c r="D11" s="16">
        <v>0.56000000000000005</v>
      </c>
      <c r="E11" s="16">
        <v>0.59</v>
      </c>
      <c r="F11" s="16"/>
      <c r="G11" s="16"/>
      <c r="H11" s="16"/>
      <c r="I11" s="16"/>
      <c r="J11" s="16"/>
      <c r="K11" s="16"/>
      <c r="L11" s="16"/>
      <c r="M11" s="16"/>
      <c r="N11" s="16"/>
      <c r="O11" s="16"/>
    </row>
    <row r="12" spans="1:15" x14ac:dyDescent="0.35">
      <c r="A12" s="11" t="s">
        <v>574</v>
      </c>
      <c r="B12" s="16">
        <v>0.33</v>
      </c>
      <c r="C12" s="16">
        <v>0.4</v>
      </c>
      <c r="D12" s="16">
        <v>0.43</v>
      </c>
      <c r="E12" s="16">
        <v>0.41</v>
      </c>
      <c r="F12" s="16"/>
      <c r="G12" s="16"/>
      <c r="H12" s="16"/>
      <c r="I12" s="16"/>
      <c r="J12" s="16"/>
      <c r="K12" s="16"/>
      <c r="L12" s="16"/>
      <c r="M12" s="16"/>
      <c r="N12" s="16"/>
      <c r="O12" s="16"/>
    </row>
    <row r="13" spans="1:15" x14ac:dyDescent="0.35">
      <c r="A13" s="11" t="s">
        <v>395</v>
      </c>
      <c r="B13" s="16">
        <v>0.63</v>
      </c>
      <c r="C13" s="16">
        <v>0.67</v>
      </c>
      <c r="D13" s="16">
        <v>0.69</v>
      </c>
      <c r="E13" s="16">
        <v>0.68</v>
      </c>
      <c r="F13" s="16"/>
      <c r="G13" s="16"/>
      <c r="H13" s="16"/>
      <c r="I13" s="16"/>
      <c r="J13" s="16"/>
      <c r="K13" s="16"/>
      <c r="L13" s="16"/>
      <c r="M13" s="16"/>
      <c r="N13" s="16"/>
      <c r="O13" s="16"/>
    </row>
    <row r="14" spans="1:15" ht="30" customHeight="1" x14ac:dyDescent="0.4">
      <c r="A14" s="5" t="s">
        <v>330</v>
      </c>
      <c r="B14" s="16"/>
      <c r="C14" s="16"/>
      <c r="D14" s="16"/>
      <c r="E14" s="16"/>
      <c r="F14" s="16"/>
      <c r="G14" s="16"/>
      <c r="H14" s="16"/>
      <c r="I14" s="16"/>
      <c r="J14" s="16"/>
      <c r="K14" s="16"/>
      <c r="L14" s="16"/>
      <c r="M14" s="16"/>
      <c r="N14" s="16"/>
      <c r="O14" s="16"/>
    </row>
    <row r="15" spans="1:15" x14ac:dyDescent="0.35">
      <c r="A15" s="11" t="s">
        <v>386</v>
      </c>
      <c r="B15" s="16" t="s">
        <v>391</v>
      </c>
      <c r="C15" s="16" t="s">
        <v>392</v>
      </c>
      <c r="D15" s="16" t="s">
        <v>393</v>
      </c>
      <c r="E15" s="16" t="s">
        <v>394</v>
      </c>
      <c r="F15" s="16"/>
      <c r="G15" s="16"/>
      <c r="H15" s="16"/>
      <c r="I15" s="16"/>
      <c r="J15" s="16"/>
      <c r="K15" s="16"/>
      <c r="L15" s="16"/>
      <c r="M15" s="16"/>
      <c r="N15" s="16"/>
      <c r="O15" s="16"/>
    </row>
    <row r="16" spans="1:15" x14ac:dyDescent="0.35">
      <c r="A16" s="8" t="s">
        <v>573</v>
      </c>
      <c r="B16" s="15">
        <v>0.3</v>
      </c>
      <c r="C16" s="15">
        <v>0.27</v>
      </c>
      <c r="D16" s="15">
        <v>0.28000000000000003</v>
      </c>
      <c r="E16" s="15">
        <v>0.27</v>
      </c>
      <c r="F16" s="15"/>
      <c r="G16" s="15"/>
      <c r="H16" s="15"/>
      <c r="I16" s="15"/>
      <c r="J16" s="15"/>
      <c r="K16" s="15"/>
      <c r="L16" s="15"/>
      <c r="M16" s="15"/>
      <c r="N16" s="15"/>
      <c r="O16" s="15"/>
    </row>
    <row r="17" spans="1:15" x14ac:dyDescent="0.35">
      <c r="A17" s="11" t="s">
        <v>518</v>
      </c>
      <c r="B17" s="16">
        <v>0.25</v>
      </c>
      <c r="C17" s="16">
        <v>0.25</v>
      </c>
      <c r="D17" s="16">
        <v>0.25</v>
      </c>
      <c r="E17" s="16">
        <v>0.27</v>
      </c>
      <c r="F17" s="16"/>
      <c r="G17" s="16"/>
      <c r="H17" s="16"/>
      <c r="I17" s="16"/>
      <c r="J17" s="16"/>
      <c r="K17" s="16"/>
      <c r="L17" s="16"/>
      <c r="M17" s="16"/>
      <c r="N17" s="16"/>
      <c r="O17" s="16"/>
    </row>
    <row r="18" spans="1:15" x14ac:dyDescent="0.35">
      <c r="A18" s="11" t="s">
        <v>519</v>
      </c>
      <c r="B18" s="16">
        <v>0.21</v>
      </c>
      <c r="C18" s="16">
        <v>0.23</v>
      </c>
      <c r="D18" s="16">
        <v>0.21</v>
      </c>
      <c r="E18" s="16">
        <v>0.2</v>
      </c>
      <c r="F18" s="16"/>
      <c r="G18" s="16"/>
      <c r="H18" s="16"/>
      <c r="I18" s="16"/>
      <c r="J18" s="16"/>
      <c r="K18" s="16"/>
      <c r="L18" s="16"/>
      <c r="M18" s="16"/>
      <c r="N18" s="16"/>
      <c r="O18" s="16"/>
    </row>
    <row r="19" spans="1:15" x14ac:dyDescent="0.35">
      <c r="A19" s="11" t="s">
        <v>520</v>
      </c>
      <c r="B19" s="16">
        <v>0.17</v>
      </c>
      <c r="C19" s="16">
        <v>0.15</v>
      </c>
      <c r="D19" s="16">
        <v>0.16</v>
      </c>
      <c r="E19" s="16">
        <v>0.15</v>
      </c>
      <c r="F19" s="16"/>
      <c r="G19" s="16"/>
      <c r="H19" s="16"/>
      <c r="I19" s="16"/>
      <c r="J19" s="16"/>
      <c r="K19" s="16"/>
      <c r="L19" s="16"/>
      <c r="M19" s="16"/>
      <c r="N19" s="16"/>
      <c r="O19" s="16"/>
    </row>
    <row r="20" spans="1:15" x14ac:dyDescent="0.35">
      <c r="A20" s="11" t="s">
        <v>574</v>
      </c>
      <c r="B20" s="16">
        <v>0.08</v>
      </c>
      <c r="C20" s="16">
        <v>0.1</v>
      </c>
      <c r="D20" s="16">
        <v>0.11</v>
      </c>
      <c r="E20" s="16">
        <v>0.1</v>
      </c>
      <c r="F20" s="16"/>
      <c r="G20" s="16"/>
      <c r="H20" s="16"/>
      <c r="I20" s="16"/>
      <c r="J20" s="16"/>
      <c r="K20" s="16"/>
      <c r="L20" s="16"/>
      <c r="M20" s="16"/>
      <c r="N20" s="16"/>
      <c r="O20" s="16"/>
    </row>
    <row r="21" spans="1:15" x14ac:dyDescent="0.35">
      <c r="A21" s="11" t="s">
        <v>395</v>
      </c>
      <c r="B21" s="16">
        <v>1</v>
      </c>
      <c r="C21" s="16">
        <v>1</v>
      </c>
      <c r="D21" s="16">
        <v>1</v>
      </c>
      <c r="E21" s="16">
        <v>1</v>
      </c>
      <c r="F21" s="16"/>
      <c r="G21" s="16"/>
      <c r="H21" s="16"/>
      <c r="I21" s="16"/>
      <c r="J21" s="16"/>
      <c r="K21" s="16"/>
      <c r="L21" s="16"/>
      <c r="M21" s="16"/>
      <c r="N21" s="16"/>
      <c r="O21" s="16"/>
    </row>
    <row r="22" spans="1:15" ht="30" customHeight="1" x14ac:dyDescent="0.4">
      <c r="A22" s="5" t="s">
        <v>331</v>
      </c>
      <c r="B22" s="16"/>
      <c r="C22" s="16"/>
      <c r="D22" s="16"/>
      <c r="E22" s="16"/>
      <c r="F22" s="16"/>
      <c r="G22" s="16"/>
      <c r="H22" s="16"/>
      <c r="I22" s="16"/>
      <c r="J22" s="16"/>
      <c r="K22" s="16"/>
      <c r="L22" s="16"/>
      <c r="M22" s="16"/>
      <c r="N22" s="16"/>
      <c r="O22" s="16"/>
    </row>
    <row r="23" spans="1:15" x14ac:dyDescent="0.35">
      <c r="A23" s="11" t="s">
        <v>386</v>
      </c>
      <c r="B23" s="16" t="s">
        <v>391</v>
      </c>
      <c r="C23" s="16" t="s">
        <v>392</v>
      </c>
      <c r="D23" s="16" t="s">
        <v>393</v>
      </c>
      <c r="E23" s="16" t="s">
        <v>394</v>
      </c>
      <c r="F23" s="16"/>
      <c r="G23" s="16"/>
      <c r="H23" s="16"/>
      <c r="I23" s="16"/>
      <c r="J23" s="16"/>
      <c r="K23" s="16"/>
      <c r="L23" s="16"/>
      <c r="M23" s="16"/>
      <c r="N23" s="16"/>
      <c r="O23" s="16"/>
    </row>
    <row r="24" spans="1:15" x14ac:dyDescent="0.35">
      <c r="A24" s="8" t="s">
        <v>573</v>
      </c>
      <c r="B24" s="12">
        <v>51</v>
      </c>
      <c r="C24" s="12">
        <v>52</v>
      </c>
      <c r="D24" s="12">
        <v>50</v>
      </c>
      <c r="E24" s="12">
        <v>52</v>
      </c>
      <c r="F24" s="12"/>
      <c r="G24" s="12"/>
      <c r="H24" s="12"/>
      <c r="I24" s="12"/>
      <c r="J24" s="12"/>
      <c r="K24" s="12"/>
      <c r="L24" s="12"/>
      <c r="M24" s="12"/>
      <c r="N24" s="12"/>
      <c r="O24" s="12"/>
    </row>
    <row r="25" spans="1:15" x14ac:dyDescent="0.35">
      <c r="A25" s="11" t="s">
        <v>518</v>
      </c>
      <c r="B25" s="13">
        <v>52</v>
      </c>
      <c r="C25" s="13">
        <v>49</v>
      </c>
      <c r="D25" s="13">
        <v>49</v>
      </c>
      <c r="E25" s="13">
        <v>50</v>
      </c>
      <c r="F25" s="13"/>
      <c r="G25" s="13"/>
      <c r="H25" s="13"/>
      <c r="I25" s="13"/>
      <c r="J25" s="13"/>
      <c r="K25" s="13"/>
      <c r="L25" s="13"/>
      <c r="M25" s="13"/>
      <c r="N25" s="13"/>
      <c r="O25" s="13"/>
    </row>
    <row r="26" spans="1:15" x14ac:dyDescent="0.35">
      <c r="A26" s="11" t="s">
        <v>519</v>
      </c>
      <c r="B26" s="13">
        <v>49</v>
      </c>
      <c r="C26" s="13">
        <v>49</v>
      </c>
      <c r="D26" s="13">
        <v>47</v>
      </c>
      <c r="E26" s="13">
        <v>51</v>
      </c>
      <c r="F26" s="13"/>
      <c r="G26" s="13"/>
      <c r="H26" s="13"/>
      <c r="I26" s="13"/>
      <c r="J26" s="13"/>
      <c r="K26" s="13"/>
      <c r="L26" s="13"/>
      <c r="M26" s="13"/>
      <c r="N26" s="13"/>
      <c r="O26" s="13"/>
    </row>
    <row r="27" spans="1:15" x14ac:dyDescent="0.35">
      <c r="A27" s="11" t="s">
        <v>520</v>
      </c>
      <c r="B27" s="13">
        <v>53</v>
      </c>
      <c r="C27" s="13">
        <v>50</v>
      </c>
      <c r="D27" s="13">
        <v>53</v>
      </c>
      <c r="E27" s="13">
        <v>58</v>
      </c>
      <c r="F27" s="13"/>
      <c r="G27" s="13"/>
      <c r="H27" s="13"/>
      <c r="I27" s="13"/>
      <c r="J27" s="13"/>
      <c r="K27" s="13"/>
      <c r="L27" s="13"/>
      <c r="M27" s="13"/>
      <c r="N27" s="13"/>
      <c r="O27" s="13"/>
    </row>
    <row r="28" spans="1:15" x14ac:dyDescent="0.35">
      <c r="A28" s="11" t="s">
        <v>574</v>
      </c>
      <c r="B28" s="13">
        <v>63</v>
      </c>
      <c r="C28" s="13">
        <v>52</v>
      </c>
      <c r="D28" s="13">
        <v>59</v>
      </c>
      <c r="E28" s="13">
        <v>62</v>
      </c>
      <c r="F28" s="13"/>
      <c r="G28" s="13"/>
      <c r="H28" s="13"/>
      <c r="I28" s="13"/>
      <c r="J28" s="13"/>
      <c r="K28" s="13"/>
      <c r="L28" s="13"/>
      <c r="M28" s="13"/>
      <c r="N28" s="13"/>
      <c r="O28" s="13"/>
    </row>
    <row r="29" spans="1:15" x14ac:dyDescent="0.35">
      <c r="A29" s="11" t="s">
        <v>395</v>
      </c>
      <c r="B29" s="13">
        <v>52</v>
      </c>
      <c r="C29" s="13">
        <v>50</v>
      </c>
      <c r="D29" s="13">
        <v>51</v>
      </c>
      <c r="E29" s="13">
        <v>53</v>
      </c>
      <c r="F29" s="13"/>
      <c r="G29" s="13"/>
      <c r="H29" s="13"/>
      <c r="I29" s="13"/>
      <c r="J29" s="13"/>
      <c r="K29" s="13"/>
      <c r="L29" s="13"/>
      <c r="M29" s="13"/>
      <c r="N29" s="13"/>
      <c r="O29" s="13"/>
    </row>
    <row r="30" spans="1:15" ht="30" customHeight="1" x14ac:dyDescent="0.4">
      <c r="A30" s="5" t="s">
        <v>332</v>
      </c>
      <c r="B30" s="13"/>
      <c r="C30" s="13"/>
      <c r="D30" s="13"/>
      <c r="E30" s="13"/>
      <c r="F30" s="13"/>
      <c r="G30" s="13"/>
      <c r="H30" s="13"/>
      <c r="I30" s="13"/>
      <c r="J30" s="13"/>
      <c r="K30" s="13"/>
      <c r="L30" s="13"/>
      <c r="M30" s="13"/>
      <c r="N30" s="13"/>
      <c r="O30" s="13"/>
    </row>
    <row r="31" spans="1:15" x14ac:dyDescent="0.35">
      <c r="A31" s="11" t="s">
        <v>386</v>
      </c>
      <c r="B31" s="13" t="s">
        <v>391</v>
      </c>
      <c r="C31" s="13" t="s">
        <v>392</v>
      </c>
      <c r="D31" s="13" t="s">
        <v>393</v>
      </c>
      <c r="E31" s="13" t="s">
        <v>394</v>
      </c>
      <c r="F31" s="13"/>
      <c r="G31" s="13"/>
      <c r="H31" s="13"/>
      <c r="I31" s="13"/>
      <c r="J31" s="13"/>
      <c r="K31" s="13"/>
      <c r="L31" s="13"/>
      <c r="M31" s="13"/>
      <c r="N31" s="13"/>
      <c r="O31" s="13"/>
    </row>
    <row r="32" spans="1:15" x14ac:dyDescent="0.35">
      <c r="A32" s="8" t="s">
        <v>573</v>
      </c>
      <c r="B32" s="12">
        <v>759</v>
      </c>
      <c r="C32" s="12">
        <v>728</v>
      </c>
      <c r="D32" s="12">
        <v>686</v>
      </c>
      <c r="E32" s="12">
        <v>567</v>
      </c>
      <c r="F32" s="12"/>
      <c r="G32" s="12"/>
      <c r="H32" s="12"/>
      <c r="I32" s="12"/>
      <c r="J32" s="12"/>
      <c r="K32" s="12"/>
      <c r="L32" s="12"/>
      <c r="M32" s="12"/>
      <c r="N32" s="12"/>
      <c r="O32" s="12"/>
    </row>
    <row r="33" spans="1:15" x14ac:dyDescent="0.35">
      <c r="A33" s="11" t="s">
        <v>518</v>
      </c>
      <c r="B33" s="13">
        <v>680</v>
      </c>
      <c r="C33" s="13">
        <v>557</v>
      </c>
      <c r="D33" s="13">
        <v>557</v>
      </c>
      <c r="E33" s="13">
        <v>491</v>
      </c>
      <c r="F33" s="13"/>
      <c r="G33" s="13"/>
      <c r="H33" s="13"/>
      <c r="I33" s="13"/>
      <c r="J33" s="13"/>
      <c r="K33" s="13"/>
      <c r="L33" s="13"/>
      <c r="M33" s="13"/>
      <c r="N33" s="13"/>
      <c r="O33" s="13"/>
    </row>
    <row r="34" spans="1:15" x14ac:dyDescent="0.35">
      <c r="A34" s="11" t="s">
        <v>519</v>
      </c>
      <c r="B34" s="13">
        <v>559</v>
      </c>
      <c r="C34" s="13">
        <v>620</v>
      </c>
      <c r="D34" s="13">
        <v>508</v>
      </c>
      <c r="E34" s="13">
        <v>364</v>
      </c>
      <c r="F34" s="13"/>
      <c r="G34" s="13"/>
      <c r="H34" s="13"/>
      <c r="I34" s="13"/>
      <c r="J34" s="13"/>
      <c r="K34" s="13"/>
      <c r="L34" s="13"/>
      <c r="M34" s="13"/>
      <c r="N34" s="13"/>
      <c r="O34" s="13"/>
    </row>
    <row r="35" spans="1:15" x14ac:dyDescent="0.35">
      <c r="A35" s="11" t="s">
        <v>520</v>
      </c>
      <c r="B35" s="13">
        <v>547</v>
      </c>
      <c r="C35" s="13">
        <v>492</v>
      </c>
      <c r="D35" s="13">
        <v>487</v>
      </c>
      <c r="E35" s="13">
        <v>389</v>
      </c>
      <c r="F35" s="13"/>
      <c r="G35" s="13"/>
      <c r="H35" s="13"/>
      <c r="I35" s="13"/>
      <c r="J35" s="13"/>
      <c r="K35" s="13"/>
      <c r="L35" s="13"/>
      <c r="M35" s="13"/>
      <c r="N35" s="13"/>
      <c r="O35" s="13"/>
    </row>
    <row r="36" spans="1:15" x14ac:dyDescent="0.35">
      <c r="A36" s="11" t="s">
        <v>574</v>
      </c>
      <c r="B36" s="13">
        <v>470</v>
      </c>
      <c r="C36" s="13">
        <v>480</v>
      </c>
      <c r="D36" s="13">
        <v>421</v>
      </c>
      <c r="E36" s="13">
        <v>373</v>
      </c>
      <c r="F36" s="13"/>
      <c r="G36" s="13"/>
      <c r="H36" s="13"/>
      <c r="I36" s="13"/>
      <c r="J36" s="13"/>
      <c r="K36" s="13"/>
      <c r="L36" s="13"/>
      <c r="M36" s="13"/>
      <c r="N36" s="13"/>
      <c r="O36" s="13"/>
    </row>
    <row r="37" spans="1:15" x14ac:dyDescent="0.35">
      <c r="A37" s="11" t="s">
        <v>395</v>
      </c>
      <c r="B37" s="13">
        <v>3015</v>
      </c>
      <c r="C37" s="13">
        <v>2877</v>
      </c>
      <c r="D37" s="13">
        <v>2659</v>
      </c>
      <c r="E37" s="13">
        <v>2184</v>
      </c>
      <c r="F37" s="13"/>
      <c r="G37" s="13"/>
      <c r="H37" s="13"/>
      <c r="I37" s="13"/>
      <c r="J37" s="13"/>
      <c r="K37" s="13"/>
      <c r="L37" s="13"/>
      <c r="M37" s="13"/>
      <c r="N37" s="13"/>
      <c r="O37" s="13"/>
    </row>
    <row r="38" spans="1:15" x14ac:dyDescent="0.35">
      <c r="A38" s="11"/>
      <c r="B38" s="13"/>
      <c r="C38" s="13"/>
      <c r="D38" s="13"/>
      <c r="E38" s="13"/>
      <c r="F38" s="13"/>
      <c r="G38" s="13"/>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339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338</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489</v>
      </c>
      <c r="B7" s="15">
        <v>0.73</v>
      </c>
      <c r="C7" s="15">
        <v>0.76</v>
      </c>
      <c r="D7" s="15">
        <v>0.76</v>
      </c>
      <c r="E7" s="15">
        <v>0.82</v>
      </c>
      <c r="F7" s="15">
        <v>0.83</v>
      </c>
      <c r="G7" s="15">
        <v>0.84</v>
      </c>
      <c r="H7" s="15">
        <v>0.85</v>
      </c>
      <c r="I7" s="15">
        <v>0.85</v>
      </c>
      <c r="J7" s="15"/>
      <c r="K7" s="15"/>
      <c r="L7" s="15"/>
      <c r="M7" s="15"/>
      <c r="N7" s="15"/>
      <c r="O7" s="15"/>
    </row>
    <row r="8" spans="1:15" x14ac:dyDescent="0.35">
      <c r="A8" s="11" t="s">
        <v>490</v>
      </c>
      <c r="B8" s="16">
        <v>0.6</v>
      </c>
      <c r="C8" s="16">
        <v>0.61</v>
      </c>
      <c r="D8" s="16">
        <v>0.59</v>
      </c>
      <c r="E8" s="16">
        <v>0.56999999999999995</v>
      </c>
      <c r="F8" s="16">
        <v>0.62</v>
      </c>
      <c r="G8" s="16">
        <v>0.67</v>
      </c>
      <c r="H8" s="16">
        <v>0.66</v>
      </c>
      <c r="I8" s="16">
        <v>0.65</v>
      </c>
      <c r="J8" s="16"/>
      <c r="K8" s="16"/>
      <c r="L8" s="16"/>
      <c r="M8" s="16"/>
      <c r="N8" s="16"/>
      <c r="O8" s="16"/>
    </row>
    <row r="9" spans="1:15" x14ac:dyDescent="0.35">
      <c r="A9" s="11" t="s">
        <v>491</v>
      </c>
      <c r="B9" s="16">
        <v>0.41</v>
      </c>
      <c r="C9" s="16">
        <v>0.39</v>
      </c>
      <c r="D9" s="16">
        <v>0.47</v>
      </c>
      <c r="E9" s="16">
        <v>0.41</v>
      </c>
      <c r="F9" s="16">
        <v>0.41</v>
      </c>
      <c r="G9" s="16">
        <v>0.45</v>
      </c>
      <c r="H9" s="16">
        <v>0.42</v>
      </c>
      <c r="I9" s="16">
        <v>0.39</v>
      </c>
      <c r="J9" s="16"/>
      <c r="K9" s="16"/>
      <c r="L9" s="16"/>
      <c r="M9" s="16"/>
      <c r="N9" s="16"/>
      <c r="O9" s="16"/>
    </row>
    <row r="10" spans="1:15" x14ac:dyDescent="0.35">
      <c r="A10" s="11" t="s">
        <v>395</v>
      </c>
      <c r="B10" s="16">
        <v>0.57999999999999996</v>
      </c>
      <c r="C10" s="16">
        <v>0.59</v>
      </c>
      <c r="D10" s="16">
        <v>0.59</v>
      </c>
      <c r="E10" s="16">
        <v>0.59</v>
      </c>
      <c r="F10" s="16">
        <v>0.63</v>
      </c>
      <c r="G10" s="16">
        <v>0.68</v>
      </c>
      <c r="H10" s="16">
        <v>0.69</v>
      </c>
      <c r="I10" s="16">
        <v>0.68</v>
      </c>
      <c r="J10" s="16"/>
      <c r="K10" s="16"/>
      <c r="L10" s="16"/>
      <c r="M10" s="16"/>
      <c r="N10" s="16"/>
      <c r="O10" s="16"/>
    </row>
    <row r="11" spans="1:15" ht="30" customHeight="1" x14ac:dyDescent="0.4">
      <c r="A11" s="5" t="s">
        <v>335</v>
      </c>
      <c r="B11" s="16"/>
      <c r="C11" s="16"/>
      <c r="D11" s="16"/>
      <c r="E11" s="16"/>
      <c r="F11" s="16"/>
      <c r="G11" s="16"/>
      <c r="H11" s="16"/>
      <c r="I11" s="16"/>
      <c r="J11" s="16"/>
      <c r="K11" s="16"/>
      <c r="L11" s="16"/>
      <c r="M11" s="16"/>
      <c r="N11" s="16"/>
      <c r="O11" s="16"/>
    </row>
    <row r="12" spans="1:15" x14ac:dyDescent="0.35">
      <c r="A12" s="11" t="s">
        <v>386</v>
      </c>
      <c r="B12" s="16" t="s">
        <v>387</v>
      </c>
      <c r="C12" s="16" t="s">
        <v>388</v>
      </c>
      <c r="D12" s="16" t="s">
        <v>389</v>
      </c>
      <c r="E12" s="16" t="s">
        <v>390</v>
      </c>
      <c r="F12" s="16" t="s">
        <v>391</v>
      </c>
      <c r="G12" s="16" t="s">
        <v>392</v>
      </c>
      <c r="H12" s="16" t="s">
        <v>393</v>
      </c>
      <c r="I12" s="16" t="s">
        <v>394</v>
      </c>
      <c r="J12" s="16"/>
      <c r="K12" s="16"/>
      <c r="L12" s="16"/>
      <c r="M12" s="16"/>
      <c r="N12" s="16"/>
      <c r="O12" s="16"/>
    </row>
    <row r="13" spans="1:15" x14ac:dyDescent="0.35">
      <c r="A13" s="8" t="s">
        <v>489</v>
      </c>
      <c r="B13" s="15">
        <v>0.25</v>
      </c>
      <c r="C13" s="15">
        <v>0.27</v>
      </c>
      <c r="D13" s="15">
        <v>0.27</v>
      </c>
      <c r="E13" s="15">
        <v>0.33</v>
      </c>
      <c r="F13" s="15">
        <v>0.35</v>
      </c>
      <c r="G13" s="15">
        <v>0.35</v>
      </c>
      <c r="H13" s="15">
        <v>0.4</v>
      </c>
      <c r="I13" s="15">
        <v>0.42</v>
      </c>
      <c r="J13" s="15"/>
      <c r="K13" s="15"/>
      <c r="L13" s="15"/>
      <c r="M13" s="15"/>
      <c r="N13" s="15"/>
      <c r="O13" s="15"/>
    </row>
    <row r="14" spans="1:15" x14ac:dyDescent="0.35">
      <c r="A14" s="11" t="s">
        <v>490</v>
      </c>
      <c r="B14" s="16">
        <v>0.59</v>
      </c>
      <c r="C14" s="16">
        <v>0.57999999999999996</v>
      </c>
      <c r="D14" s="16">
        <v>0.51</v>
      </c>
      <c r="E14" s="16">
        <v>0.52</v>
      </c>
      <c r="F14" s="16">
        <v>0.52</v>
      </c>
      <c r="G14" s="16">
        <v>0.53</v>
      </c>
      <c r="H14" s="16">
        <v>0.52</v>
      </c>
      <c r="I14" s="16">
        <v>0.51</v>
      </c>
      <c r="J14" s="16"/>
      <c r="K14" s="16"/>
      <c r="L14" s="16"/>
      <c r="M14" s="16"/>
      <c r="N14" s="16"/>
      <c r="O14" s="16"/>
    </row>
    <row r="15" spans="1:15" x14ac:dyDescent="0.35">
      <c r="A15" s="11" t="s">
        <v>491</v>
      </c>
      <c r="B15" s="16">
        <v>0.16</v>
      </c>
      <c r="C15" s="16">
        <v>0.15</v>
      </c>
      <c r="D15" s="16">
        <v>0.22</v>
      </c>
      <c r="E15" s="16">
        <v>0.15</v>
      </c>
      <c r="F15" s="16">
        <v>0.13</v>
      </c>
      <c r="G15" s="16">
        <v>0.12</v>
      </c>
      <c r="H15" s="16">
        <v>0.08</v>
      </c>
      <c r="I15" s="16">
        <v>7.0000000000000007E-2</v>
      </c>
      <c r="J15" s="16"/>
      <c r="K15" s="16"/>
      <c r="L15" s="16"/>
      <c r="M15" s="16"/>
      <c r="N15" s="16"/>
      <c r="O15" s="16"/>
    </row>
    <row r="16" spans="1:15" x14ac:dyDescent="0.35">
      <c r="A16" s="11" t="s">
        <v>395</v>
      </c>
      <c r="B16" s="16">
        <v>1</v>
      </c>
      <c r="C16" s="16">
        <v>1</v>
      </c>
      <c r="D16" s="16">
        <v>1</v>
      </c>
      <c r="E16" s="16">
        <v>1</v>
      </c>
      <c r="F16" s="16">
        <v>1</v>
      </c>
      <c r="G16" s="16">
        <v>1</v>
      </c>
      <c r="H16" s="16">
        <v>1</v>
      </c>
      <c r="I16" s="16">
        <v>1</v>
      </c>
      <c r="J16" s="16"/>
      <c r="K16" s="16"/>
      <c r="L16" s="16"/>
      <c r="M16" s="16"/>
      <c r="N16" s="16"/>
      <c r="O16" s="16"/>
    </row>
    <row r="17" spans="1:15" ht="30" customHeight="1" x14ac:dyDescent="0.4">
      <c r="A17" s="5" t="s">
        <v>336</v>
      </c>
      <c r="B17" s="16"/>
      <c r="C17" s="16"/>
      <c r="D17" s="16"/>
      <c r="E17" s="16"/>
      <c r="F17" s="16"/>
      <c r="G17" s="16"/>
      <c r="H17" s="16"/>
      <c r="I17" s="16"/>
      <c r="J17" s="16"/>
      <c r="K17" s="16"/>
      <c r="L17" s="16"/>
      <c r="M17" s="16"/>
      <c r="N17" s="16"/>
      <c r="O17" s="16"/>
    </row>
    <row r="18" spans="1:15" x14ac:dyDescent="0.35">
      <c r="A18" s="11" t="s">
        <v>386</v>
      </c>
      <c r="B18" s="16" t="s">
        <v>387</v>
      </c>
      <c r="C18" s="16" t="s">
        <v>388</v>
      </c>
      <c r="D18" s="16" t="s">
        <v>389</v>
      </c>
      <c r="E18" s="16" t="s">
        <v>390</v>
      </c>
      <c r="F18" s="16" t="s">
        <v>391</v>
      </c>
      <c r="G18" s="16" t="s">
        <v>392</v>
      </c>
      <c r="H18" s="16" t="s">
        <v>393</v>
      </c>
      <c r="I18" s="16" t="s">
        <v>394</v>
      </c>
      <c r="J18" s="16"/>
      <c r="K18" s="16"/>
      <c r="L18" s="16"/>
      <c r="M18" s="16"/>
      <c r="N18" s="16"/>
      <c r="O18" s="16"/>
    </row>
    <row r="19" spans="1:15" x14ac:dyDescent="0.35">
      <c r="A19" s="8" t="s">
        <v>489</v>
      </c>
      <c r="B19" s="12">
        <v>43</v>
      </c>
      <c r="C19" s="12">
        <v>43</v>
      </c>
      <c r="D19" s="12">
        <v>43</v>
      </c>
      <c r="E19" s="12">
        <v>48</v>
      </c>
      <c r="F19" s="12">
        <v>48</v>
      </c>
      <c r="G19" s="12">
        <v>44</v>
      </c>
      <c r="H19" s="12">
        <v>46</v>
      </c>
      <c r="I19" s="12">
        <v>47</v>
      </c>
      <c r="J19" s="12"/>
      <c r="K19" s="12"/>
      <c r="L19" s="12"/>
      <c r="M19" s="12"/>
      <c r="N19" s="12"/>
      <c r="O19" s="12"/>
    </row>
    <row r="20" spans="1:15" x14ac:dyDescent="0.35">
      <c r="A20" s="11" t="s">
        <v>490</v>
      </c>
      <c r="B20" s="13">
        <v>49</v>
      </c>
      <c r="C20" s="13">
        <v>49</v>
      </c>
      <c r="D20" s="13">
        <v>50</v>
      </c>
      <c r="E20" s="13">
        <v>53</v>
      </c>
      <c r="F20" s="13">
        <v>52</v>
      </c>
      <c r="G20" s="13">
        <v>51</v>
      </c>
      <c r="H20" s="13">
        <v>51</v>
      </c>
      <c r="I20" s="13">
        <v>54</v>
      </c>
      <c r="J20" s="13"/>
      <c r="K20" s="13"/>
      <c r="L20" s="13"/>
      <c r="M20" s="13"/>
      <c r="N20" s="13"/>
      <c r="O20" s="13"/>
    </row>
    <row r="21" spans="1:15" x14ac:dyDescent="0.35">
      <c r="A21" s="11" t="s">
        <v>491</v>
      </c>
      <c r="B21" s="13">
        <v>66</v>
      </c>
      <c r="C21" s="13">
        <v>67</v>
      </c>
      <c r="D21" s="13">
        <v>62</v>
      </c>
      <c r="E21" s="13">
        <v>69</v>
      </c>
      <c r="F21" s="13">
        <v>68</v>
      </c>
      <c r="G21" s="13">
        <v>63</v>
      </c>
      <c r="H21" s="13">
        <v>69</v>
      </c>
      <c r="I21" s="13">
        <v>67</v>
      </c>
      <c r="J21" s="13"/>
      <c r="K21" s="13"/>
      <c r="L21" s="13"/>
      <c r="M21" s="13"/>
      <c r="N21" s="13"/>
      <c r="O21" s="13"/>
    </row>
    <row r="22" spans="1:15" x14ac:dyDescent="0.35">
      <c r="A22" s="11" t="s">
        <v>395</v>
      </c>
      <c r="B22" s="13">
        <v>50</v>
      </c>
      <c r="C22" s="13">
        <v>50</v>
      </c>
      <c r="D22" s="13">
        <v>51</v>
      </c>
      <c r="E22" s="13">
        <v>53</v>
      </c>
      <c r="F22" s="13">
        <v>52</v>
      </c>
      <c r="G22" s="13">
        <v>50</v>
      </c>
      <c r="H22" s="13">
        <v>51</v>
      </c>
      <c r="I22" s="13">
        <v>53</v>
      </c>
      <c r="J22" s="13"/>
      <c r="K22" s="13"/>
      <c r="L22" s="13"/>
      <c r="M22" s="13"/>
      <c r="N22" s="13"/>
      <c r="O22" s="13"/>
    </row>
    <row r="23" spans="1:15" ht="30" customHeight="1" x14ac:dyDescent="0.4">
      <c r="A23" s="5" t="s">
        <v>337</v>
      </c>
      <c r="B23" s="13"/>
      <c r="C23" s="13"/>
      <c r="D23" s="13"/>
      <c r="E23" s="13"/>
      <c r="F23" s="13"/>
      <c r="G23" s="13"/>
      <c r="H23" s="13"/>
      <c r="I23" s="13"/>
      <c r="J23" s="13"/>
      <c r="K23" s="13"/>
      <c r="L23" s="13"/>
      <c r="M23" s="13"/>
      <c r="N23" s="13"/>
      <c r="O23" s="13"/>
    </row>
    <row r="24" spans="1:15" x14ac:dyDescent="0.35">
      <c r="A24" s="11" t="s">
        <v>386</v>
      </c>
      <c r="B24" s="13" t="s">
        <v>387</v>
      </c>
      <c r="C24" s="13" t="s">
        <v>388</v>
      </c>
      <c r="D24" s="13" t="s">
        <v>389</v>
      </c>
      <c r="E24" s="13" t="s">
        <v>390</v>
      </c>
      <c r="F24" s="13" t="s">
        <v>391</v>
      </c>
      <c r="G24" s="13" t="s">
        <v>392</v>
      </c>
      <c r="H24" s="13" t="s">
        <v>393</v>
      </c>
      <c r="I24" s="13" t="s">
        <v>394</v>
      </c>
      <c r="J24" s="13"/>
      <c r="K24" s="13"/>
      <c r="L24" s="13"/>
      <c r="M24" s="13"/>
      <c r="N24" s="13"/>
      <c r="O24" s="13"/>
    </row>
    <row r="25" spans="1:15" x14ac:dyDescent="0.35">
      <c r="A25" s="8" t="s">
        <v>489</v>
      </c>
      <c r="B25" s="12">
        <v>978</v>
      </c>
      <c r="C25" s="12">
        <v>731</v>
      </c>
      <c r="D25" s="12">
        <v>771</v>
      </c>
      <c r="E25" s="12">
        <v>811</v>
      </c>
      <c r="F25" s="12">
        <v>816</v>
      </c>
      <c r="G25" s="12">
        <v>794</v>
      </c>
      <c r="H25" s="12">
        <v>861</v>
      </c>
      <c r="I25" s="12">
        <v>802</v>
      </c>
      <c r="J25" s="12"/>
      <c r="K25" s="12"/>
      <c r="L25" s="12"/>
      <c r="M25" s="12"/>
      <c r="N25" s="12"/>
      <c r="O25" s="12"/>
    </row>
    <row r="26" spans="1:15" x14ac:dyDescent="0.35">
      <c r="A26" s="11" t="s">
        <v>490</v>
      </c>
      <c r="B26" s="13">
        <v>2744</v>
      </c>
      <c r="C26" s="13">
        <v>1957</v>
      </c>
      <c r="D26" s="13">
        <v>1860</v>
      </c>
      <c r="E26" s="13">
        <v>1750</v>
      </c>
      <c r="F26" s="13">
        <v>1504</v>
      </c>
      <c r="G26" s="13">
        <v>1498</v>
      </c>
      <c r="H26" s="13">
        <v>1405</v>
      </c>
      <c r="I26" s="13">
        <v>1100</v>
      </c>
      <c r="J26" s="13"/>
      <c r="K26" s="13"/>
      <c r="L26" s="13"/>
      <c r="M26" s="13"/>
      <c r="N26" s="13"/>
      <c r="O26" s="13"/>
    </row>
    <row r="27" spans="1:15" x14ac:dyDescent="0.35">
      <c r="A27" s="11" t="s">
        <v>491</v>
      </c>
      <c r="B27" s="13">
        <v>1129</v>
      </c>
      <c r="C27" s="13">
        <v>761</v>
      </c>
      <c r="D27" s="13">
        <v>1004</v>
      </c>
      <c r="E27" s="13">
        <v>737</v>
      </c>
      <c r="F27" s="13">
        <v>652</v>
      </c>
      <c r="G27" s="13">
        <v>541</v>
      </c>
      <c r="H27" s="13">
        <v>358</v>
      </c>
      <c r="I27" s="13">
        <v>249</v>
      </c>
      <c r="J27" s="13"/>
      <c r="K27" s="13"/>
      <c r="L27" s="13"/>
      <c r="M27" s="13"/>
      <c r="N27" s="13"/>
      <c r="O27" s="13"/>
    </row>
    <row r="28" spans="1:15" x14ac:dyDescent="0.35">
      <c r="A28" s="11" t="s">
        <v>395</v>
      </c>
      <c r="B28" s="13">
        <v>4851</v>
      </c>
      <c r="C28" s="13">
        <v>3449</v>
      </c>
      <c r="D28" s="13">
        <v>3635</v>
      </c>
      <c r="E28" s="13">
        <v>3298</v>
      </c>
      <c r="F28" s="13">
        <v>2972</v>
      </c>
      <c r="G28" s="13">
        <v>2833</v>
      </c>
      <c r="H28" s="13">
        <v>2624</v>
      </c>
      <c r="I28" s="13">
        <v>2151</v>
      </c>
      <c r="J28" s="13"/>
      <c r="K28" s="13"/>
      <c r="L28" s="13"/>
      <c r="M28" s="13"/>
      <c r="N28" s="13"/>
      <c r="O28" s="13"/>
    </row>
    <row r="29" spans="1:15" x14ac:dyDescent="0.35">
      <c r="A29" s="11"/>
      <c r="B29" s="13"/>
      <c r="C29" s="13"/>
      <c r="D29" s="13"/>
      <c r="E29" s="13"/>
      <c r="F29" s="13"/>
      <c r="G29" s="13"/>
      <c r="H29" s="13"/>
      <c r="I29" s="13"/>
      <c r="J29" s="13"/>
      <c r="K29" s="13"/>
      <c r="L29" s="13"/>
      <c r="M29" s="13"/>
      <c r="N29" s="13"/>
      <c r="O29" s="13"/>
    </row>
    <row r="30" spans="1:15" x14ac:dyDescent="0.35">
      <c r="A30" s="11"/>
      <c r="B30" s="13"/>
      <c r="C30" s="13"/>
      <c r="D30" s="13"/>
      <c r="E30" s="13"/>
      <c r="F30" s="13"/>
      <c r="G30" s="13"/>
      <c r="H30" s="13"/>
      <c r="I30" s="13"/>
      <c r="J30" s="13"/>
      <c r="K30" s="13"/>
      <c r="L30" s="13"/>
      <c r="M30" s="13"/>
      <c r="N30" s="13"/>
      <c r="O30" s="13"/>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344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x14ac:dyDescent="0.35">
      <c r="A4" s="8" t="s">
        <v>481</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343</v>
      </c>
      <c r="B6" s="9"/>
      <c r="C6" s="9"/>
      <c r="D6" s="9"/>
      <c r="E6" s="9"/>
      <c r="F6" s="9"/>
      <c r="G6" s="9"/>
      <c r="H6" s="9"/>
      <c r="I6" s="9"/>
      <c r="J6" s="9"/>
      <c r="K6" s="9"/>
      <c r="L6" s="9"/>
      <c r="M6" s="9"/>
      <c r="N6" s="9"/>
      <c r="O6" s="9"/>
    </row>
    <row r="7" spans="1:15" x14ac:dyDescent="0.35">
      <c r="A7" s="11" t="s">
        <v>386</v>
      </c>
      <c r="B7" s="9" t="s">
        <v>391</v>
      </c>
      <c r="C7" s="9" t="s">
        <v>392</v>
      </c>
      <c r="D7" s="9" t="s">
        <v>393</v>
      </c>
      <c r="E7" s="9" t="s">
        <v>394</v>
      </c>
      <c r="F7" s="9"/>
      <c r="G7" s="9"/>
      <c r="H7" s="9"/>
      <c r="I7" s="9"/>
      <c r="J7" s="9"/>
      <c r="K7" s="9"/>
      <c r="L7" s="9"/>
      <c r="M7" s="9"/>
      <c r="N7" s="9"/>
      <c r="O7" s="9"/>
    </row>
    <row r="8" spans="1:15" x14ac:dyDescent="0.35">
      <c r="A8" s="8" t="s">
        <v>484</v>
      </c>
      <c r="B8" s="15">
        <v>0.76</v>
      </c>
      <c r="C8" s="15">
        <v>0.81</v>
      </c>
      <c r="D8" s="15">
        <v>0.85</v>
      </c>
      <c r="E8" s="15">
        <v>0.84</v>
      </c>
      <c r="F8" s="15"/>
      <c r="G8" s="15"/>
      <c r="H8" s="15"/>
      <c r="I8" s="15"/>
      <c r="J8" s="15"/>
      <c r="K8" s="15"/>
      <c r="L8" s="15"/>
      <c r="M8" s="15"/>
      <c r="N8" s="15"/>
      <c r="O8" s="15"/>
    </row>
    <row r="9" spans="1:15" x14ac:dyDescent="0.35">
      <c r="A9" s="11" t="s">
        <v>482</v>
      </c>
      <c r="B9" s="16">
        <v>0.66</v>
      </c>
      <c r="C9" s="16">
        <v>0.69</v>
      </c>
      <c r="D9" s="16">
        <v>0.68</v>
      </c>
      <c r="E9" s="16">
        <v>0.72</v>
      </c>
      <c r="F9" s="16"/>
      <c r="G9" s="16"/>
      <c r="H9" s="16"/>
      <c r="I9" s="16"/>
      <c r="J9" s="16"/>
      <c r="K9" s="16"/>
      <c r="L9" s="16"/>
      <c r="M9" s="16"/>
      <c r="N9" s="16"/>
      <c r="O9" s="16"/>
    </row>
    <row r="10" spans="1:15" x14ac:dyDescent="0.35">
      <c r="A10" s="11" t="s">
        <v>483</v>
      </c>
      <c r="B10" s="16">
        <v>0.54</v>
      </c>
      <c r="C10" s="16">
        <v>0.55000000000000004</v>
      </c>
      <c r="D10" s="16">
        <v>0.53</v>
      </c>
      <c r="E10" s="16">
        <v>0.52</v>
      </c>
      <c r="F10" s="16"/>
      <c r="G10" s="16"/>
      <c r="H10" s="16"/>
      <c r="I10" s="16"/>
      <c r="J10" s="16"/>
      <c r="K10" s="16"/>
      <c r="L10" s="16"/>
      <c r="M10" s="16"/>
      <c r="N10" s="16"/>
      <c r="O10" s="16"/>
    </row>
    <row r="11" spans="1:15" x14ac:dyDescent="0.35">
      <c r="A11" s="11" t="s">
        <v>485</v>
      </c>
      <c r="B11" s="16">
        <v>0.28999999999999998</v>
      </c>
      <c r="C11" s="16">
        <v>0.26</v>
      </c>
      <c r="D11" s="16">
        <v>0.27</v>
      </c>
      <c r="E11" s="16">
        <v>0.34</v>
      </c>
      <c r="F11" s="16"/>
      <c r="G11" s="16"/>
      <c r="H11" s="16"/>
      <c r="I11" s="16"/>
      <c r="J11" s="16"/>
      <c r="K11" s="16"/>
      <c r="L11" s="16"/>
      <c r="M11" s="16"/>
      <c r="N11" s="16"/>
      <c r="O11" s="16"/>
    </row>
    <row r="12" spans="1:15" x14ac:dyDescent="0.35">
      <c r="A12" s="11" t="s">
        <v>487</v>
      </c>
      <c r="B12" s="16">
        <v>0.28000000000000003</v>
      </c>
      <c r="C12" s="16">
        <v>0.22</v>
      </c>
      <c r="D12" s="16">
        <v>0.24</v>
      </c>
      <c r="E12" s="16">
        <v>0.11</v>
      </c>
      <c r="F12" s="16"/>
      <c r="G12" s="16"/>
      <c r="H12" s="16"/>
      <c r="I12" s="16"/>
      <c r="J12" s="16"/>
      <c r="K12" s="16"/>
      <c r="L12" s="16"/>
      <c r="M12" s="16"/>
      <c r="N12" s="16"/>
      <c r="O12" s="16"/>
    </row>
    <row r="13" spans="1:15" x14ac:dyDescent="0.35">
      <c r="A13" s="11" t="s">
        <v>488</v>
      </c>
      <c r="B13" s="16">
        <v>0.24</v>
      </c>
      <c r="C13" s="16">
        <v>0.36</v>
      </c>
      <c r="D13" s="16">
        <v>0.24</v>
      </c>
      <c r="E13" s="16">
        <v>0.32</v>
      </c>
      <c r="F13" s="16"/>
      <c r="G13" s="16"/>
      <c r="H13" s="16"/>
      <c r="I13" s="16"/>
      <c r="J13" s="16"/>
      <c r="K13" s="16"/>
      <c r="L13" s="16"/>
      <c r="M13" s="16"/>
      <c r="N13" s="16"/>
      <c r="O13" s="16"/>
    </row>
    <row r="14" spans="1:15" x14ac:dyDescent="0.35">
      <c r="A14" s="11" t="s">
        <v>486</v>
      </c>
      <c r="B14" s="16">
        <v>0.05</v>
      </c>
      <c r="C14" s="16">
        <v>0.17</v>
      </c>
      <c r="D14" s="16">
        <v>0.16</v>
      </c>
      <c r="E14" s="16">
        <v>0.08</v>
      </c>
      <c r="F14" s="16"/>
      <c r="G14" s="16"/>
      <c r="H14" s="16"/>
      <c r="I14" s="16"/>
      <c r="J14" s="16"/>
      <c r="K14" s="16"/>
      <c r="L14" s="16"/>
      <c r="M14" s="16"/>
      <c r="N14" s="16"/>
      <c r="O14" s="16"/>
    </row>
    <row r="15" spans="1:15" x14ac:dyDescent="0.35">
      <c r="A15" s="11" t="s">
        <v>395</v>
      </c>
      <c r="B15" s="16">
        <v>0.63</v>
      </c>
      <c r="C15" s="16">
        <v>0.67</v>
      </c>
      <c r="D15" s="16">
        <v>0.69</v>
      </c>
      <c r="E15" s="16">
        <v>0.68</v>
      </c>
      <c r="F15" s="16"/>
      <c r="G15" s="16"/>
      <c r="H15" s="16"/>
      <c r="I15" s="16"/>
      <c r="J15" s="16"/>
      <c r="K15" s="16"/>
      <c r="L15" s="16"/>
      <c r="M15" s="16"/>
      <c r="N15" s="16"/>
      <c r="O15" s="16"/>
    </row>
    <row r="16" spans="1:15" ht="30" customHeight="1" x14ac:dyDescent="0.4">
      <c r="A16" s="5" t="s">
        <v>340</v>
      </c>
      <c r="B16" s="16"/>
      <c r="C16" s="16"/>
      <c r="D16" s="16"/>
      <c r="E16" s="16"/>
      <c r="F16" s="16"/>
      <c r="G16" s="16"/>
      <c r="H16" s="16"/>
      <c r="I16" s="16"/>
      <c r="J16" s="16"/>
      <c r="K16" s="16"/>
      <c r="L16" s="16"/>
      <c r="M16" s="16"/>
      <c r="N16" s="16"/>
      <c r="O16" s="16"/>
    </row>
    <row r="17" spans="1:15" x14ac:dyDescent="0.35">
      <c r="A17" s="11" t="s">
        <v>386</v>
      </c>
      <c r="B17" s="16" t="s">
        <v>391</v>
      </c>
      <c r="C17" s="16" t="s">
        <v>392</v>
      </c>
      <c r="D17" s="16" t="s">
        <v>393</v>
      </c>
      <c r="E17" s="16" t="s">
        <v>394</v>
      </c>
      <c r="F17" s="16"/>
      <c r="G17" s="16"/>
      <c r="H17" s="16"/>
      <c r="I17" s="16"/>
      <c r="J17" s="16"/>
      <c r="K17" s="16"/>
      <c r="L17" s="16"/>
      <c r="M17" s="16"/>
      <c r="N17" s="16"/>
      <c r="O17" s="16"/>
    </row>
    <row r="18" spans="1:15" x14ac:dyDescent="0.35">
      <c r="A18" s="8" t="s">
        <v>484</v>
      </c>
      <c r="B18" s="15">
        <v>0.61</v>
      </c>
      <c r="C18" s="15">
        <v>0.64</v>
      </c>
      <c r="D18" s="15">
        <v>0.65</v>
      </c>
      <c r="E18" s="15">
        <v>0.61</v>
      </c>
      <c r="F18" s="15"/>
      <c r="G18" s="15"/>
      <c r="H18" s="15"/>
      <c r="I18" s="15"/>
      <c r="J18" s="15"/>
      <c r="K18" s="15"/>
      <c r="L18" s="15"/>
      <c r="M18" s="15"/>
      <c r="N18" s="15"/>
      <c r="O18" s="15"/>
    </row>
    <row r="19" spans="1:15" x14ac:dyDescent="0.35">
      <c r="A19" s="11" t="s">
        <v>482</v>
      </c>
      <c r="B19" s="16">
        <v>0.28000000000000003</v>
      </c>
      <c r="C19" s="16">
        <v>0.25</v>
      </c>
      <c r="D19" s="16">
        <v>0.24</v>
      </c>
      <c r="E19" s="16">
        <v>0.28000000000000003</v>
      </c>
      <c r="F19" s="16"/>
      <c r="G19" s="16"/>
      <c r="H19" s="16"/>
      <c r="I19" s="16"/>
      <c r="J19" s="16"/>
      <c r="K19" s="16"/>
      <c r="L19" s="16"/>
      <c r="M19" s="16"/>
      <c r="N19" s="16"/>
      <c r="O19" s="16"/>
    </row>
    <row r="20" spans="1:15" x14ac:dyDescent="0.35">
      <c r="A20" s="11" t="s">
        <v>483</v>
      </c>
      <c r="B20" s="16">
        <v>0.05</v>
      </c>
      <c r="C20" s="16">
        <v>0.05</v>
      </c>
      <c r="D20" s="16">
        <v>0.05</v>
      </c>
      <c r="E20" s="16">
        <v>0.06</v>
      </c>
      <c r="F20" s="16"/>
      <c r="G20" s="16"/>
      <c r="H20" s="16"/>
      <c r="I20" s="16"/>
      <c r="J20" s="16"/>
      <c r="K20" s="16"/>
      <c r="L20" s="16"/>
      <c r="M20" s="16"/>
      <c r="N20" s="16"/>
      <c r="O20" s="16"/>
    </row>
    <row r="21" spans="1:15" x14ac:dyDescent="0.35">
      <c r="A21" s="11" t="s">
        <v>485</v>
      </c>
      <c r="B21" s="16">
        <v>0.02</v>
      </c>
      <c r="C21" s="16">
        <v>0.02</v>
      </c>
      <c r="D21" s="16">
        <v>0.02</v>
      </c>
      <c r="E21" s="16">
        <v>0.03</v>
      </c>
      <c r="F21" s="16"/>
      <c r="G21" s="16"/>
      <c r="H21" s="16"/>
      <c r="I21" s="16"/>
      <c r="J21" s="16"/>
      <c r="K21" s="16"/>
      <c r="L21" s="16"/>
      <c r="M21" s="16"/>
      <c r="N21" s="16"/>
      <c r="O21" s="16"/>
    </row>
    <row r="22" spans="1:15" x14ac:dyDescent="0.35">
      <c r="A22" s="11" t="s">
        <v>487</v>
      </c>
      <c r="B22" s="16">
        <v>0.03</v>
      </c>
      <c r="C22" s="16">
        <v>0.02</v>
      </c>
      <c r="D22" s="16">
        <v>0.02</v>
      </c>
      <c r="E22" s="16">
        <v>0.01</v>
      </c>
      <c r="F22" s="16"/>
      <c r="G22" s="16"/>
      <c r="H22" s="16"/>
      <c r="I22" s="16"/>
      <c r="J22" s="16"/>
      <c r="K22" s="16"/>
      <c r="L22" s="16"/>
      <c r="M22" s="16"/>
      <c r="N22" s="16"/>
      <c r="O22" s="16"/>
    </row>
    <row r="23" spans="1:15" x14ac:dyDescent="0.35">
      <c r="A23" s="11" t="s">
        <v>488</v>
      </c>
      <c r="B23" s="16">
        <v>0.01</v>
      </c>
      <c r="C23" s="16">
        <v>0.01</v>
      </c>
      <c r="D23" s="16">
        <v>0.01</v>
      </c>
      <c r="E23" s="16">
        <v>0.01</v>
      </c>
      <c r="F23" s="16"/>
      <c r="G23" s="16"/>
      <c r="H23" s="16"/>
      <c r="I23" s="16"/>
      <c r="J23" s="16"/>
      <c r="K23" s="16"/>
      <c r="L23" s="16"/>
      <c r="M23" s="16"/>
      <c r="N23" s="16"/>
      <c r="O23" s="16"/>
    </row>
    <row r="24" spans="1:15" x14ac:dyDescent="0.35">
      <c r="A24" s="11" t="s">
        <v>486</v>
      </c>
      <c r="B24" s="16">
        <v>0</v>
      </c>
      <c r="C24" s="16">
        <v>0.01</v>
      </c>
      <c r="D24" s="16">
        <v>0.01</v>
      </c>
      <c r="E24" s="16">
        <v>0</v>
      </c>
      <c r="F24" s="16"/>
      <c r="G24" s="16"/>
      <c r="H24" s="16"/>
      <c r="I24" s="16"/>
      <c r="J24" s="16"/>
      <c r="K24" s="16"/>
      <c r="L24" s="16"/>
      <c r="M24" s="16"/>
      <c r="N24" s="16"/>
      <c r="O24" s="16"/>
    </row>
    <row r="25" spans="1:15" x14ac:dyDescent="0.35">
      <c r="A25" s="11" t="s">
        <v>395</v>
      </c>
      <c r="B25" s="16">
        <v>1</v>
      </c>
      <c r="C25" s="16">
        <v>1</v>
      </c>
      <c r="D25" s="16">
        <v>1</v>
      </c>
      <c r="E25" s="16">
        <v>1</v>
      </c>
      <c r="F25" s="16"/>
      <c r="G25" s="16"/>
      <c r="H25" s="16"/>
      <c r="I25" s="16"/>
      <c r="J25" s="16"/>
      <c r="K25" s="16"/>
      <c r="L25" s="16"/>
      <c r="M25" s="16"/>
      <c r="N25" s="16"/>
      <c r="O25" s="16"/>
    </row>
    <row r="26" spans="1:15" ht="30" customHeight="1" x14ac:dyDescent="0.4">
      <c r="A26" s="5" t="s">
        <v>341</v>
      </c>
      <c r="B26" s="16"/>
      <c r="C26" s="16"/>
      <c r="D26" s="16"/>
      <c r="E26" s="16"/>
      <c r="F26" s="16"/>
      <c r="G26" s="16"/>
      <c r="H26" s="16"/>
      <c r="I26" s="16"/>
      <c r="J26" s="16"/>
      <c r="K26" s="16"/>
      <c r="L26" s="16"/>
      <c r="M26" s="16"/>
      <c r="N26" s="16"/>
      <c r="O26" s="16"/>
    </row>
    <row r="27" spans="1:15" x14ac:dyDescent="0.35">
      <c r="A27" s="11" t="s">
        <v>386</v>
      </c>
      <c r="B27" s="16" t="s">
        <v>391</v>
      </c>
      <c r="C27" s="16" t="s">
        <v>392</v>
      </c>
      <c r="D27" s="16" t="s">
        <v>393</v>
      </c>
      <c r="E27" s="16" t="s">
        <v>394</v>
      </c>
      <c r="F27" s="16"/>
      <c r="G27" s="16"/>
      <c r="H27" s="16"/>
      <c r="I27" s="16"/>
      <c r="J27" s="16"/>
      <c r="K27" s="16"/>
      <c r="L27" s="16"/>
      <c r="M27" s="16"/>
      <c r="N27" s="16"/>
      <c r="O27" s="16"/>
    </row>
    <row r="28" spans="1:15" x14ac:dyDescent="0.35">
      <c r="A28" s="8" t="s">
        <v>484</v>
      </c>
      <c r="B28" s="12">
        <v>45</v>
      </c>
      <c r="C28" s="12">
        <v>43</v>
      </c>
      <c r="D28" s="12">
        <v>42</v>
      </c>
      <c r="E28" s="12">
        <v>44</v>
      </c>
      <c r="F28" s="12"/>
      <c r="G28" s="12"/>
      <c r="H28" s="12"/>
      <c r="I28" s="12"/>
      <c r="J28" s="12"/>
      <c r="K28" s="12"/>
      <c r="L28" s="12"/>
      <c r="M28" s="12"/>
      <c r="N28" s="12"/>
      <c r="O28" s="12"/>
    </row>
    <row r="29" spans="1:15" x14ac:dyDescent="0.35">
      <c r="A29" s="11" t="s">
        <v>482</v>
      </c>
      <c r="B29" s="13">
        <v>71</v>
      </c>
      <c r="C29" s="13">
        <v>71</v>
      </c>
      <c r="D29" s="13">
        <v>72</v>
      </c>
      <c r="E29" s="13">
        <v>72</v>
      </c>
      <c r="F29" s="13"/>
      <c r="G29" s="13"/>
      <c r="H29" s="13"/>
      <c r="I29" s="13"/>
      <c r="J29" s="13"/>
      <c r="K29" s="13"/>
      <c r="L29" s="13"/>
      <c r="M29" s="13"/>
      <c r="N29" s="13"/>
      <c r="O29" s="13"/>
    </row>
    <row r="30" spans="1:15" x14ac:dyDescent="0.35">
      <c r="A30" s="11" t="s">
        <v>483</v>
      </c>
      <c r="B30" s="13">
        <v>53</v>
      </c>
      <c r="C30" s="13">
        <v>52</v>
      </c>
      <c r="D30" s="13">
        <v>53</v>
      </c>
      <c r="E30" s="13">
        <v>54</v>
      </c>
      <c r="F30" s="13"/>
      <c r="G30" s="13"/>
      <c r="H30" s="13"/>
      <c r="I30" s="13"/>
      <c r="J30" s="13"/>
      <c r="K30" s="13"/>
      <c r="L30" s="13"/>
      <c r="M30" s="13"/>
      <c r="N30" s="13"/>
      <c r="O30" s="13"/>
    </row>
    <row r="31" spans="1:15" x14ac:dyDescent="0.35">
      <c r="A31" s="11" t="s">
        <v>485</v>
      </c>
      <c r="B31" s="13">
        <v>52</v>
      </c>
      <c r="C31" s="13">
        <v>47</v>
      </c>
      <c r="D31" s="13">
        <v>53</v>
      </c>
      <c r="E31" s="13">
        <v>55</v>
      </c>
      <c r="F31" s="13"/>
      <c r="G31" s="13"/>
      <c r="H31" s="13"/>
      <c r="I31" s="13"/>
      <c r="J31" s="13"/>
      <c r="K31" s="13"/>
      <c r="L31" s="13"/>
      <c r="M31" s="13"/>
      <c r="N31" s="13"/>
      <c r="O31" s="13"/>
    </row>
    <row r="32" spans="1:15" x14ac:dyDescent="0.35">
      <c r="A32" s="11" t="s">
        <v>487</v>
      </c>
      <c r="B32" s="13">
        <v>57</v>
      </c>
      <c r="C32" s="13">
        <v>55</v>
      </c>
      <c r="D32" s="13">
        <v>54</v>
      </c>
      <c r="E32" s="13">
        <v>59</v>
      </c>
      <c r="F32" s="13"/>
      <c r="G32" s="13"/>
      <c r="H32" s="13"/>
      <c r="I32" s="13"/>
      <c r="J32" s="13"/>
      <c r="K32" s="13"/>
      <c r="L32" s="13"/>
      <c r="M32" s="13"/>
      <c r="N32" s="13"/>
      <c r="O32" s="13"/>
    </row>
    <row r="33" spans="1:15" x14ac:dyDescent="0.35">
      <c r="A33" s="11" t="s">
        <v>488</v>
      </c>
      <c r="B33" s="13">
        <v>55</v>
      </c>
      <c r="C33" s="13">
        <v>48</v>
      </c>
      <c r="D33" s="13">
        <v>39</v>
      </c>
      <c r="E33" s="13">
        <v>52</v>
      </c>
      <c r="F33" s="13"/>
      <c r="G33" s="13"/>
      <c r="H33" s="13"/>
      <c r="I33" s="13"/>
      <c r="J33" s="13"/>
      <c r="K33" s="13"/>
      <c r="L33" s="13"/>
      <c r="M33" s="13"/>
      <c r="N33" s="13"/>
      <c r="O33" s="13"/>
    </row>
    <row r="34" spans="1:15" x14ac:dyDescent="0.35">
      <c r="A34" s="11" t="s">
        <v>486</v>
      </c>
      <c r="B34" s="13">
        <v>22</v>
      </c>
      <c r="C34" s="13">
        <v>31</v>
      </c>
      <c r="D34" s="13">
        <v>33</v>
      </c>
      <c r="E34" s="13">
        <v>31</v>
      </c>
      <c r="F34" s="13"/>
      <c r="G34" s="13"/>
      <c r="H34" s="13"/>
      <c r="I34" s="13"/>
      <c r="J34" s="13"/>
      <c r="K34" s="13"/>
      <c r="L34" s="13"/>
      <c r="M34" s="13"/>
      <c r="N34" s="13"/>
      <c r="O34" s="13"/>
    </row>
    <row r="35" spans="1:15" x14ac:dyDescent="0.35">
      <c r="A35" s="11" t="s">
        <v>395</v>
      </c>
      <c r="B35" s="13">
        <v>52</v>
      </c>
      <c r="C35" s="13">
        <v>50</v>
      </c>
      <c r="D35" s="13">
        <v>51</v>
      </c>
      <c r="E35" s="13">
        <v>53</v>
      </c>
      <c r="F35" s="13"/>
      <c r="G35" s="13"/>
      <c r="H35" s="13"/>
      <c r="I35" s="13"/>
      <c r="J35" s="13"/>
      <c r="K35" s="13"/>
      <c r="L35" s="13"/>
      <c r="M35" s="13"/>
      <c r="N35" s="13"/>
      <c r="O35" s="13"/>
    </row>
    <row r="36" spans="1:15" ht="30" customHeight="1" x14ac:dyDescent="0.4">
      <c r="A36" s="5" t="s">
        <v>342</v>
      </c>
      <c r="B36" s="13"/>
      <c r="C36" s="13"/>
      <c r="D36" s="13"/>
      <c r="E36" s="13"/>
      <c r="F36" s="13"/>
      <c r="G36" s="13"/>
      <c r="H36" s="13"/>
      <c r="I36" s="13"/>
      <c r="J36" s="13"/>
      <c r="K36" s="13"/>
      <c r="L36" s="13"/>
      <c r="M36" s="13"/>
      <c r="N36" s="13"/>
      <c r="O36" s="13"/>
    </row>
    <row r="37" spans="1:15" x14ac:dyDescent="0.35">
      <c r="A37" s="11" t="s">
        <v>386</v>
      </c>
      <c r="B37" s="13" t="s">
        <v>391</v>
      </c>
      <c r="C37" s="13" t="s">
        <v>392</v>
      </c>
      <c r="D37" s="13" t="s">
        <v>393</v>
      </c>
      <c r="E37" s="13" t="s">
        <v>394</v>
      </c>
      <c r="F37" s="13"/>
      <c r="G37" s="13"/>
      <c r="H37" s="13"/>
      <c r="I37" s="13"/>
      <c r="J37" s="13"/>
      <c r="K37" s="13"/>
      <c r="L37" s="13"/>
      <c r="M37" s="13"/>
      <c r="N37" s="13"/>
      <c r="O37" s="13"/>
    </row>
    <row r="38" spans="1:15" x14ac:dyDescent="0.35">
      <c r="A38" s="8" t="s">
        <v>484</v>
      </c>
      <c r="B38" s="12">
        <v>1347</v>
      </c>
      <c r="C38" s="12">
        <v>1282</v>
      </c>
      <c r="D38" s="12">
        <v>1147</v>
      </c>
      <c r="E38" s="12">
        <v>897</v>
      </c>
      <c r="F38" s="12"/>
      <c r="G38" s="12"/>
      <c r="H38" s="12"/>
      <c r="I38" s="12"/>
      <c r="J38" s="12"/>
      <c r="K38" s="12"/>
      <c r="L38" s="12"/>
      <c r="M38" s="12"/>
      <c r="N38" s="12"/>
      <c r="O38" s="12"/>
    </row>
    <row r="39" spans="1:15" x14ac:dyDescent="0.35">
      <c r="A39" s="11" t="s">
        <v>482</v>
      </c>
      <c r="B39" s="13">
        <v>1074</v>
      </c>
      <c r="C39" s="13">
        <v>997</v>
      </c>
      <c r="D39" s="13">
        <v>977</v>
      </c>
      <c r="E39" s="13">
        <v>855</v>
      </c>
      <c r="F39" s="13"/>
      <c r="G39" s="13"/>
      <c r="H39" s="13"/>
      <c r="I39" s="13"/>
      <c r="J39" s="13"/>
      <c r="K39" s="13"/>
      <c r="L39" s="13"/>
      <c r="M39" s="13"/>
      <c r="N39" s="13"/>
      <c r="O39" s="13"/>
    </row>
    <row r="40" spans="1:15" x14ac:dyDescent="0.35">
      <c r="A40" s="11" t="s">
        <v>483</v>
      </c>
      <c r="B40" s="13">
        <v>185</v>
      </c>
      <c r="C40" s="13">
        <v>206</v>
      </c>
      <c r="D40" s="13">
        <v>191</v>
      </c>
      <c r="E40" s="13">
        <v>152</v>
      </c>
      <c r="F40" s="13"/>
      <c r="G40" s="13"/>
      <c r="H40" s="13"/>
      <c r="I40" s="13"/>
      <c r="J40" s="13"/>
      <c r="K40" s="13"/>
      <c r="L40" s="13"/>
      <c r="M40" s="13"/>
      <c r="N40" s="13"/>
      <c r="O40" s="13"/>
    </row>
    <row r="41" spans="1:15" x14ac:dyDescent="0.35">
      <c r="A41" s="11" t="s">
        <v>485</v>
      </c>
      <c r="B41" s="13">
        <v>144</v>
      </c>
      <c r="C41" s="13">
        <v>143</v>
      </c>
      <c r="D41" s="13">
        <v>119</v>
      </c>
      <c r="E41" s="13">
        <v>107</v>
      </c>
      <c r="F41" s="13"/>
      <c r="G41" s="13"/>
      <c r="H41" s="13"/>
      <c r="I41" s="13"/>
      <c r="J41" s="13"/>
      <c r="K41" s="13"/>
      <c r="L41" s="13"/>
      <c r="M41" s="13"/>
      <c r="N41" s="13"/>
      <c r="O41" s="13"/>
    </row>
    <row r="42" spans="1:15" x14ac:dyDescent="0.35">
      <c r="A42" s="11" t="s">
        <v>487</v>
      </c>
      <c r="B42" s="13">
        <v>142</v>
      </c>
      <c r="C42" s="13">
        <v>142</v>
      </c>
      <c r="D42" s="13">
        <v>131</v>
      </c>
      <c r="E42" s="13">
        <v>82</v>
      </c>
      <c r="F42" s="13"/>
      <c r="G42" s="13"/>
      <c r="H42" s="13"/>
      <c r="I42" s="13"/>
      <c r="J42" s="13"/>
      <c r="K42" s="13"/>
      <c r="L42" s="13"/>
      <c r="M42" s="13"/>
      <c r="N42" s="13"/>
      <c r="O42" s="13"/>
    </row>
    <row r="43" spans="1:15" x14ac:dyDescent="0.35">
      <c r="A43" s="11" t="s">
        <v>488</v>
      </c>
      <c r="B43" s="13">
        <v>55</v>
      </c>
      <c r="C43" s="13">
        <v>60</v>
      </c>
      <c r="D43" s="13">
        <v>43</v>
      </c>
      <c r="E43" s="13">
        <v>47</v>
      </c>
      <c r="F43" s="13"/>
      <c r="G43" s="13"/>
      <c r="H43" s="13"/>
      <c r="I43" s="13"/>
      <c r="J43" s="13"/>
      <c r="K43" s="13"/>
      <c r="L43" s="13"/>
      <c r="M43" s="13"/>
      <c r="N43" s="13"/>
      <c r="O43" s="13"/>
    </row>
    <row r="44" spans="1:15" x14ac:dyDescent="0.35">
      <c r="A44" s="11" t="s">
        <v>486</v>
      </c>
      <c r="B44" s="13">
        <v>68</v>
      </c>
      <c r="C44" s="13">
        <v>45</v>
      </c>
      <c r="D44" s="13">
        <v>45</v>
      </c>
      <c r="E44" s="13">
        <v>40</v>
      </c>
      <c r="F44" s="13"/>
      <c r="G44" s="13"/>
      <c r="H44" s="13"/>
      <c r="I44" s="13"/>
      <c r="J44" s="13"/>
      <c r="K44" s="13"/>
      <c r="L44" s="13"/>
      <c r="M44" s="13"/>
      <c r="N44" s="13"/>
      <c r="O44" s="13"/>
    </row>
    <row r="45" spans="1:15" x14ac:dyDescent="0.35">
      <c r="A45" s="11" t="s">
        <v>395</v>
      </c>
      <c r="B45" s="13">
        <v>3015</v>
      </c>
      <c r="C45" s="13">
        <v>2875</v>
      </c>
      <c r="D45" s="13">
        <v>2653</v>
      </c>
      <c r="E45" s="13">
        <v>2180</v>
      </c>
      <c r="F45" s="13"/>
      <c r="G45" s="13"/>
      <c r="H45" s="13"/>
      <c r="I45" s="13"/>
      <c r="J45" s="13"/>
      <c r="K45" s="13"/>
      <c r="L45" s="13"/>
      <c r="M45" s="13"/>
      <c r="N45" s="13"/>
      <c r="O45" s="13"/>
    </row>
    <row r="46" spans="1:15" x14ac:dyDescent="0.35">
      <c r="A46" s="11"/>
      <c r="B46" s="13"/>
      <c r="C46" s="13"/>
      <c r="D46" s="13"/>
      <c r="E46" s="13"/>
      <c r="F46" s="13"/>
      <c r="G46" s="13"/>
      <c r="H46" s="13"/>
      <c r="I46" s="13"/>
      <c r="J46" s="13"/>
      <c r="K46" s="13"/>
      <c r="L46" s="13"/>
      <c r="M46" s="13"/>
      <c r="N46" s="13"/>
      <c r="O46" s="13"/>
    </row>
    <row r="47" spans="1:15" x14ac:dyDescent="0.35">
      <c r="A47" s="11"/>
      <c r="B47" s="13"/>
      <c r="C47" s="13"/>
      <c r="D47" s="13"/>
      <c r="E47" s="13"/>
      <c r="F47" s="13"/>
      <c r="G47" s="13"/>
      <c r="H47" s="13"/>
      <c r="I47" s="13"/>
      <c r="J47" s="13"/>
      <c r="K47" s="13"/>
      <c r="L47" s="13"/>
      <c r="M47" s="13"/>
      <c r="N47" s="13"/>
      <c r="O47" s="13"/>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349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ht="29" x14ac:dyDescent="0.35">
      <c r="A4" s="8" t="s">
        <v>498</v>
      </c>
      <c r="B4" s="9"/>
      <c r="C4" s="9"/>
      <c r="D4" s="9"/>
      <c r="E4" s="9"/>
      <c r="F4" s="9"/>
      <c r="G4" s="9"/>
      <c r="H4" s="9"/>
      <c r="I4" s="9"/>
      <c r="J4" s="9"/>
      <c r="K4" s="9"/>
      <c r="L4" s="9"/>
      <c r="M4" s="9"/>
      <c r="N4" s="9"/>
      <c r="O4" s="9"/>
    </row>
    <row r="5" spans="1:15" ht="29" x14ac:dyDescent="0.35">
      <c r="A5" s="8" t="s">
        <v>500</v>
      </c>
      <c r="B5" s="9"/>
      <c r="C5" s="9"/>
      <c r="D5" s="9"/>
      <c r="E5" s="9"/>
      <c r="F5" s="9"/>
      <c r="G5" s="9"/>
      <c r="H5" s="9"/>
      <c r="I5" s="9"/>
      <c r="J5" s="9"/>
      <c r="K5" s="9"/>
      <c r="L5" s="9"/>
      <c r="M5" s="9"/>
      <c r="N5" s="9"/>
      <c r="O5" s="9"/>
    </row>
    <row r="6" spans="1:15" x14ac:dyDescent="0.35">
      <c r="A6" s="8" t="s">
        <v>499</v>
      </c>
      <c r="B6" s="9"/>
      <c r="C6" s="9"/>
      <c r="D6" s="9"/>
      <c r="E6" s="9"/>
      <c r="F6" s="9"/>
      <c r="G6" s="9"/>
      <c r="H6" s="9"/>
      <c r="I6" s="9"/>
      <c r="J6" s="9"/>
      <c r="K6" s="9"/>
      <c r="L6" s="9"/>
      <c r="M6" s="9"/>
      <c r="N6" s="9"/>
      <c r="O6" s="9"/>
    </row>
    <row r="7" spans="1:15" x14ac:dyDescent="0.35">
      <c r="A7" s="10" t="s">
        <v>0</v>
      </c>
      <c r="B7" s="9"/>
      <c r="C7" s="9"/>
      <c r="D7" s="9"/>
      <c r="E7" s="9"/>
      <c r="F7" s="9"/>
      <c r="G7" s="9"/>
      <c r="H7" s="9"/>
      <c r="I7" s="9"/>
      <c r="J7" s="9"/>
      <c r="K7" s="9"/>
      <c r="L7" s="9"/>
      <c r="M7" s="9"/>
      <c r="N7" s="9"/>
      <c r="O7" s="9"/>
    </row>
    <row r="8" spans="1:15" ht="30" customHeight="1" x14ac:dyDescent="0.4">
      <c r="A8" s="5" t="s">
        <v>348</v>
      </c>
      <c r="B8" s="9"/>
      <c r="C8" s="9"/>
      <c r="D8" s="9"/>
      <c r="E8" s="9"/>
      <c r="F8" s="9"/>
      <c r="G8" s="9"/>
      <c r="H8" s="9"/>
      <c r="I8" s="9"/>
      <c r="J8" s="9"/>
      <c r="K8" s="9"/>
      <c r="L8" s="9"/>
      <c r="M8" s="9"/>
      <c r="N8" s="9"/>
      <c r="O8" s="9"/>
    </row>
    <row r="9" spans="1:15" x14ac:dyDescent="0.35">
      <c r="A9" s="11" t="s">
        <v>386</v>
      </c>
      <c r="B9" s="9" t="s">
        <v>391</v>
      </c>
      <c r="C9" s="9" t="s">
        <v>392</v>
      </c>
      <c r="D9" s="9" t="s">
        <v>393</v>
      </c>
      <c r="E9" s="9" t="s">
        <v>394</v>
      </c>
      <c r="F9" s="9"/>
      <c r="G9" s="9"/>
      <c r="H9" s="9"/>
      <c r="I9" s="9"/>
      <c r="J9" s="9"/>
      <c r="K9" s="9"/>
      <c r="L9" s="9"/>
      <c r="M9" s="9"/>
      <c r="N9" s="9"/>
      <c r="O9" s="9"/>
    </row>
    <row r="10" spans="1:15" x14ac:dyDescent="0.35">
      <c r="A10" s="8" t="s">
        <v>503</v>
      </c>
      <c r="B10" s="15">
        <v>0.74</v>
      </c>
      <c r="C10" s="15">
        <v>0.79</v>
      </c>
      <c r="D10" s="15">
        <v>0.83</v>
      </c>
      <c r="E10" s="15" t="s">
        <v>502</v>
      </c>
      <c r="F10" s="15"/>
      <c r="G10" s="15"/>
      <c r="H10" s="15"/>
      <c r="I10" s="15"/>
      <c r="J10" s="15"/>
      <c r="K10" s="15"/>
      <c r="L10" s="15"/>
      <c r="M10" s="15"/>
      <c r="N10" s="15"/>
      <c r="O10" s="15"/>
    </row>
    <row r="11" spans="1:15" x14ac:dyDescent="0.35">
      <c r="A11" s="11" t="s">
        <v>501</v>
      </c>
      <c r="B11" s="16">
        <v>0.65</v>
      </c>
      <c r="C11" s="16">
        <v>0.71</v>
      </c>
      <c r="D11" s="16">
        <v>0.72</v>
      </c>
      <c r="E11" s="16" t="s">
        <v>502</v>
      </c>
      <c r="F11" s="16"/>
      <c r="G11" s="16"/>
      <c r="H11" s="16"/>
      <c r="I11" s="16"/>
      <c r="J11" s="16"/>
      <c r="K11" s="16"/>
      <c r="L11" s="16"/>
      <c r="M11" s="16"/>
      <c r="N11" s="16"/>
      <c r="O11" s="16"/>
    </row>
    <row r="12" spans="1:15" x14ac:dyDescent="0.35">
      <c r="A12" s="11" t="s">
        <v>395</v>
      </c>
      <c r="B12" s="16">
        <v>0.65</v>
      </c>
      <c r="C12" s="16">
        <v>0.71</v>
      </c>
      <c r="D12" s="16">
        <v>0.73</v>
      </c>
      <c r="E12" s="16" t="s">
        <v>502</v>
      </c>
      <c r="F12" s="16"/>
      <c r="G12" s="16"/>
      <c r="H12" s="16"/>
      <c r="I12" s="16"/>
      <c r="J12" s="16"/>
      <c r="K12" s="16"/>
      <c r="L12" s="16"/>
      <c r="M12" s="16"/>
      <c r="N12" s="16"/>
      <c r="O12" s="16"/>
    </row>
    <row r="13" spans="1:15" ht="30" customHeight="1" x14ac:dyDescent="0.4">
      <c r="A13" s="5" t="s">
        <v>345</v>
      </c>
      <c r="B13" s="16"/>
      <c r="C13" s="16"/>
      <c r="D13" s="16"/>
      <c r="E13" s="16"/>
      <c r="F13" s="16"/>
      <c r="G13" s="16"/>
      <c r="H13" s="16"/>
      <c r="I13" s="16"/>
      <c r="J13" s="16"/>
      <c r="K13" s="16"/>
      <c r="L13" s="16"/>
      <c r="M13" s="16"/>
      <c r="N13" s="16"/>
      <c r="O13" s="16"/>
    </row>
    <row r="14" spans="1:15" x14ac:dyDescent="0.35">
      <c r="A14" s="11" t="s">
        <v>386</v>
      </c>
      <c r="B14" s="16" t="s">
        <v>391</v>
      </c>
      <c r="C14" s="16" t="s">
        <v>392</v>
      </c>
      <c r="D14" s="16" t="s">
        <v>393</v>
      </c>
      <c r="E14" s="16" t="s">
        <v>394</v>
      </c>
      <c r="F14" s="16"/>
      <c r="G14" s="16"/>
      <c r="H14" s="16"/>
      <c r="I14" s="16"/>
      <c r="J14" s="16"/>
      <c r="K14" s="16"/>
      <c r="L14" s="16"/>
      <c r="M14" s="16"/>
      <c r="N14" s="16"/>
      <c r="O14" s="16"/>
    </row>
    <row r="15" spans="1:15" x14ac:dyDescent="0.35">
      <c r="A15" s="8" t="s">
        <v>503</v>
      </c>
      <c r="B15" s="15">
        <v>0.02</v>
      </c>
      <c r="C15" s="15">
        <v>0.02</v>
      </c>
      <c r="D15" s="15">
        <v>0.03</v>
      </c>
      <c r="E15" s="15" t="s">
        <v>502</v>
      </c>
      <c r="F15" s="15"/>
      <c r="G15" s="15"/>
      <c r="H15" s="15"/>
      <c r="I15" s="15"/>
      <c r="J15" s="15"/>
      <c r="K15" s="15"/>
      <c r="L15" s="15"/>
      <c r="M15" s="15"/>
      <c r="N15" s="15"/>
      <c r="O15" s="15"/>
    </row>
    <row r="16" spans="1:15" x14ac:dyDescent="0.35">
      <c r="A16" s="11" t="s">
        <v>501</v>
      </c>
      <c r="B16" s="16">
        <v>0.98</v>
      </c>
      <c r="C16" s="16">
        <v>0.98</v>
      </c>
      <c r="D16" s="16">
        <v>0.97</v>
      </c>
      <c r="E16" s="16" t="s">
        <v>502</v>
      </c>
      <c r="F16" s="16"/>
      <c r="G16" s="16"/>
      <c r="H16" s="16"/>
      <c r="I16" s="16"/>
      <c r="J16" s="16"/>
      <c r="K16" s="16"/>
      <c r="L16" s="16"/>
      <c r="M16" s="16"/>
      <c r="N16" s="16"/>
      <c r="O16" s="16"/>
    </row>
    <row r="17" spans="1:15" x14ac:dyDescent="0.35">
      <c r="A17" s="11" t="s">
        <v>395</v>
      </c>
      <c r="B17" s="16">
        <v>1</v>
      </c>
      <c r="C17" s="16">
        <v>1</v>
      </c>
      <c r="D17" s="16">
        <v>1</v>
      </c>
      <c r="E17" s="16" t="s">
        <v>502</v>
      </c>
      <c r="F17" s="16"/>
      <c r="G17" s="16"/>
      <c r="H17" s="16"/>
      <c r="I17" s="16"/>
      <c r="J17" s="16"/>
      <c r="K17" s="16"/>
      <c r="L17" s="16"/>
      <c r="M17" s="16"/>
      <c r="N17" s="16"/>
      <c r="O17" s="16"/>
    </row>
    <row r="18" spans="1:15" ht="30" customHeight="1" x14ac:dyDescent="0.4">
      <c r="A18" s="5" t="s">
        <v>346</v>
      </c>
      <c r="B18" s="16"/>
      <c r="C18" s="16"/>
      <c r="D18" s="16"/>
      <c r="E18" s="16"/>
      <c r="F18" s="16"/>
      <c r="G18" s="16"/>
      <c r="H18" s="16"/>
      <c r="I18" s="16"/>
      <c r="J18" s="16"/>
      <c r="K18" s="16"/>
      <c r="L18" s="16"/>
      <c r="M18" s="16"/>
      <c r="N18" s="16"/>
      <c r="O18" s="16"/>
    </row>
    <row r="19" spans="1:15" x14ac:dyDescent="0.35">
      <c r="A19" s="11" t="s">
        <v>386</v>
      </c>
      <c r="B19" s="16" t="s">
        <v>391</v>
      </c>
      <c r="C19" s="16" t="s">
        <v>392</v>
      </c>
      <c r="D19" s="16" t="s">
        <v>393</v>
      </c>
      <c r="E19" s="16" t="s">
        <v>394</v>
      </c>
      <c r="F19" s="16"/>
      <c r="G19" s="16"/>
      <c r="H19" s="16"/>
      <c r="I19" s="16"/>
      <c r="J19" s="16"/>
      <c r="K19" s="16"/>
      <c r="L19" s="16"/>
      <c r="M19" s="16"/>
      <c r="N19" s="16"/>
      <c r="O19" s="16"/>
    </row>
    <row r="20" spans="1:15" x14ac:dyDescent="0.35">
      <c r="A20" s="8" t="s">
        <v>503</v>
      </c>
      <c r="B20" s="12">
        <v>43</v>
      </c>
      <c r="C20" s="12">
        <v>45</v>
      </c>
      <c r="D20" s="12">
        <v>47</v>
      </c>
      <c r="E20" s="12" t="s">
        <v>502</v>
      </c>
      <c r="F20" s="12"/>
      <c r="G20" s="12"/>
      <c r="H20" s="12"/>
      <c r="I20" s="12"/>
      <c r="J20" s="12"/>
      <c r="K20" s="12"/>
      <c r="L20" s="12"/>
      <c r="M20" s="12"/>
      <c r="N20" s="12"/>
      <c r="O20" s="12"/>
    </row>
    <row r="21" spans="1:15" x14ac:dyDescent="0.35">
      <c r="A21" s="11" t="s">
        <v>501</v>
      </c>
      <c r="B21" s="13">
        <v>54</v>
      </c>
      <c r="C21" s="13">
        <v>52</v>
      </c>
      <c r="D21" s="13">
        <v>53</v>
      </c>
      <c r="E21" s="13" t="s">
        <v>502</v>
      </c>
      <c r="F21" s="13"/>
      <c r="G21" s="13"/>
      <c r="H21" s="13"/>
      <c r="I21" s="13"/>
      <c r="J21" s="13"/>
      <c r="K21" s="13"/>
      <c r="L21" s="13"/>
      <c r="M21" s="13"/>
      <c r="N21" s="13"/>
      <c r="O21" s="13"/>
    </row>
    <row r="22" spans="1:15" x14ac:dyDescent="0.35">
      <c r="A22" s="11" t="s">
        <v>395</v>
      </c>
      <c r="B22" s="13">
        <v>53</v>
      </c>
      <c r="C22" s="13">
        <v>52</v>
      </c>
      <c r="D22" s="13">
        <v>53</v>
      </c>
      <c r="E22" s="13" t="s">
        <v>502</v>
      </c>
      <c r="F22" s="13"/>
      <c r="G22" s="13"/>
      <c r="H22" s="13"/>
      <c r="I22" s="13"/>
      <c r="J22" s="13"/>
      <c r="K22" s="13"/>
      <c r="L22" s="13"/>
      <c r="M22" s="13"/>
      <c r="N22" s="13"/>
      <c r="O22" s="13"/>
    </row>
    <row r="23" spans="1:15" ht="30" customHeight="1" x14ac:dyDescent="0.4">
      <c r="A23" s="5" t="s">
        <v>347</v>
      </c>
      <c r="B23" s="13"/>
      <c r="C23" s="13"/>
      <c r="D23" s="13"/>
      <c r="E23" s="13"/>
      <c r="F23" s="13"/>
      <c r="G23" s="13"/>
      <c r="H23" s="13"/>
      <c r="I23" s="13"/>
      <c r="J23" s="13"/>
      <c r="K23" s="13"/>
      <c r="L23" s="13"/>
      <c r="M23" s="13"/>
      <c r="N23" s="13"/>
      <c r="O23" s="13"/>
    </row>
    <row r="24" spans="1:15" x14ac:dyDescent="0.35">
      <c r="A24" s="11" t="s">
        <v>386</v>
      </c>
      <c r="B24" s="13" t="s">
        <v>391</v>
      </c>
      <c r="C24" s="13" t="s">
        <v>392</v>
      </c>
      <c r="D24" s="13" t="s">
        <v>393</v>
      </c>
      <c r="E24" s="13" t="s">
        <v>394</v>
      </c>
      <c r="F24" s="13"/>
      <c r="G24" s="13"/>
      <c r="H24" s="13"/>
      <c r="I24" s="13"/>
      <c r="J24" s="13"/>
      <c r="K24" s="13"/>
      <c r="L24" s="13"/>
      <c r="M24" s="13"/>
      <c r="N24" s="13"/>
      <c r="O24" s="13"/>
    </row>
    <row r="25" spans="1:15" x14ac:dyDescent="0.35">
      <c r="A25" s="8" t="s">
        <v>503</v>
      </c>
      <c r="B25" s="12">
        <v>35</v>
      </c>
      <c r="C25" s="12">
        <v>31</v>
      </c>
      <c r="D25" s="12">
        <v>42</v>
      </c>
      <c r="E25" s="12" t="s">
        <v>502</v>
      </c>
      <c r="F25" s="12"/>
      <c r="G25" s="12"/>
      <c r="H25" s="12"/>
      <c r="I25" s="12"/>
      <c r="J25" s="12"/>
      <c r="K25" s="12"/>
      <c r="L25" s="12"/>
      <c r="M25" s="12"/>
      <c r="N25" s="12"/>
      <c r="O25" s="12"/>
    </row>
    <row r="26" spans="1:15" x14ac:dyDescent="0.35">
      <c r="A26" s="11" t="s">
        <v>501</v>
      </c>
      <c r="B26" s="13">
        <v>2487</v>
      </c>
      <c r="C26" s="13">
        <v>2283</v>
      </c>
      <c r="D26" s="13">
        <v>2082</v>
      </c>
      <c r="E26" s="13" t="s">
        <v>502</v>
      </c>
      <c r="F26" s="13"/>
      <c r="G26" s="13"/>
      <c r="H26" s="13"/>
      <c r="I26" s="13"/>
      <c r="J26" s="13"/>
      <c r="K26" s="13"/>
      <c r="L26" s="13"/>
      <c r="M26" s="13"/>
      <c r="N26" s="13"/>
      <c r="O26" s="13"/>
    </row>
    <row r="27" spans="1:15" x14ac:dyDescent="0.35">
      <c r="A27" s="11" t="s">
        <v>395</v>
      </c>
      <c r="B27" s="13">
        <v>2522</v>
      </c>
      <c r="C27" s="13">
        <v>2314</v>
      </c>
      <c r="D27" s="13">
        <v>2124</v>
      </c>
      <c r="E27" s="13" t="s">
        <v>502</v>
      </c>
      <c r="F27" s="13"/>
      <c r="G27" s="13"/>
      <c r="H27" s="13"/>
      <c r="I27" s="13"/>
      <c r="J27" s="13"/>
      <c r="K27" s="13"/>
      <c r="L27" s="13"/>
      <c r="M27" s="13"/>
      <c r="N27" s="13"/>
      <c r="O27" s="13"/>
    </row>
    <row r="28" spans="1:15" x14ac:dyDescent="0.35">
      <c r="A28" s="11"/>
      <c r="B28" s="13"/>
      <c r="C28" s="13"/>
      <c r="D28" s="13"/>
      <c r="E28" s="13"/>
      <c r="F28" s="13"/>
      <c r="G28" s="13"/>
      <c r="H28" s="13"/>
      <c r="I28" s="13"/>
      <c r="J28" s="13"/>
      <c r="K28" s="13"/>
      <c r="L28" s="13"/>
      <c r="M28" s="13"/>
      <c r="N28" s="13"/>
      <c r="O28" s="13"/>
    </row>
    <row r="29" spans="1:15" x14ac:dyDescent="0.35">
      <c r="A29" s="11"/>
      <c r="B29" s="13"/>
      <c r="C29" s="13"/>
      <c r="D29" s="13"/>
      <c r="E29" s="13"/>
      <c r="F29" s="13"/>
      <c r="G29" s="13"/>
      <c r="H29" s="13"/>
      <c r="I29" s="13"/>
      <c r="J29" s="13"/>
      <c r="K29" s="13"/>
      <c r="L29" s="13"/>
      <c r="M29" s="13"/>
      <c r="N29" s="13"/>
      <c r="O29" s="13"/>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354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ht="29" x14ac:dyDescent="0.35">
      <c r="A4" s="8" t="s">
        <v>492</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353</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493</v>
      </c>
      <c r="B8" s="15">
        <v>0.69</v>
      </c>
      <c r="C8" s="15">
        <v>0.7</v>
      </c>
      <c r="D8" s="15">
        <v>0.71</v>
      </c>
      <c r="E8" s="15">
        <v>0.7</v>
      </c>
      <c r="F8" s="15">
        <v>0.73</v>
      </c>
      <c r="G8" s="15">
        <v>0.77</v>
      </c>
      <c r="H8" s="15">
        <v>0.78</v>
      </c>
      <c r="I8" s="15">
        <v>0.78</v>
      </c>
      <c r="J8" s="15"/>
      <c r="K8" s="15"/>
      <c r="L8" s="15"/>
      <c r="M8" s="15"/>
      <c r="N8" s="15"/>
      <c r="O8" s="15"/>
    </row>
    <row r="9" spans="1:15" x14ac:dyDescent="0.35">
      <c r="A9" s="11" t="s">
        <v>494</v>
      </c>
      <c r="B9" s="16">
        <v>0.63</v>
      </c>
      <c r="C9" s="16">
        <v>0.66</v>
      </c>
      <c r="D9" s="16">
        <v>0.67</v>
      </c>
      <c r="E9" s="16">
        <v>0.65</v>
      </c>
      <c r="F9" s="16">
        <v>0.67</v>
      </c>
      <c r="G9" s="16">
        <v>0.72</v>
      </c>
      <c r="H9" s="16">
        <v>0.72</v>
      </c>
      <c r="I9" s="16">
        <v>0.75</v>
      </c>
      <c r="J9" s="16"/>
      <c r="K9" s="16"/>
      <c r="L9" s="16"/>
      <c r="M9" s="16"/>
      <c r="N9" s="16"/>
      <c r="O9" s="16"/>
    </row>
    <row r="10" spans="1:15" x14ac:dyDescent="0.35">
      <c r="A10" s="11" t="s">
        <v>495</v>
      </c>
      <c r="B10" s="16">
        <v>0.53</v>
      </c>
      <c r="C10" s="16">
        <v>0.52</v>
      </c>
      <c r="D10" s="16">
        <v>0.55000000000000004</v>
      </c>
      <c r="E10" s="16">
        <v>0.54</v>
      </c>
      <c r="F10" s="16">
        <v>0.6</v>
      </c>
      <c r="G10" s="16">
        <v>0.66</v>
      </c>
      <c r="H10" s="16">
        <v>0.65</v>
      </c>
      <c r="I10" s="16">
        <v>0.67</v>
      </c>
      <c r="J10" s="16"/>
      <c r="K10" s="16"/>
      <c r="L10" s="16"/>
      <c r="M10" s="16"/>
      <c r="N10" s="16"/>
      <c r="O10" s="16"/>
    </row>
    <row r="11" spans="1:15" x14ac:dyDescent="0.35">
      <c r="A11" s="11" t="s">
        <v>496</v>
      </c>
      <c r="B11" s="16">
        <v>0.5</v>
      </c>
      <c r="C11" s="16">
        <v>0.51</v>
      </c>
      <c r="D11" s="16">
        <v>0.43</v>
      </c>
      <c r="E11" s="16">
        <v>0.52</v>
      </c>
      <c r="F11" s="16">
        <v>0.67</v>
      </c>
      <c r="G11" s="16">
        <v>0.61</v>
      </c>
      <c r="H11" s="16">
        <v>0.64</v>
      </c>
      <c r="I11" s="16">
        <v>0.75</v>
      </c>
      <c r="J11" s="16"/>
      <c r="K11" s="16"/>
      <c r="L11" s="16"/>
      <c r="M11" s="16"/>
      <c r="N11" s="16"/>
      <c r="O11" s="16"/>
    </row>
    <row r="12" spans="1:15" x14ac:dyDescent="0.35">
      <c r="A12" s="11" t="s">
        <v>497</v>
      </c>
      <c r="B12" s="16">
        <v>0.3</v>
      </c>
      <c r="C12" s="16">
        <v>0.36</v>
      </c>
      <c r="D12" s="16">
        <v>0.34</v>
      </c>
      <c r="E12" s="16">
        <v>0.32</v>
      </c>
      <c r="F12" s="16">
        <v>0.4</v>
      </c>
      <c r="G12" s="16">
        <v>0.48</v>
      </c>
      <c r="H12" s="16">
        <v>0.51</v>
      </c>
      <c r="I12" s="16">
        <v>0.43</v>
      </c>
      <c r="J12" s="16"/>
      <c r="K12" s="16"/>
      <c r="L12" s="16"/>
      <c r="M12" s="16"/>
      <c r="N12" s="16"/>
      <c r="O12" s="16"/>
    </row>
    <row r="13" spans="1:15" x14ac:dyDescent="0.35">
      <c r="A13" s="11" t="s">
        <v>395</v>
      </c>
      <c r="B13" s="16">
        <v>0.56999999999999995</v>
      </c>
      <c r="C13" s="16">
        <v>0.59</v>
      </c>
      <c r="D13" s="16">
        <v>0.59</v>
      </c>
      <c r="E13" s="16">
        <v>0.59</v>
      </c>
      <c r="F13" s="16">
        <v>0.63</v>
      </c>
      <c r="G13" s="16">
        <v>0.67</v>
      </c>
      <c r="H13" s="16">
        <v>0.69</v>
      </c>
      <c r="I13" s="16">
        <v>0.68</v>
      </c>
      <c r="J13" s="16"/>
      <c r="K13" s="16"/>
      <c r="L13" s="16"/>
      <c r="M13" s="16"/>
      <c r="N13" s="16"/>
      <c r="O13" s="16"/>
    </row>
    <row r="14" spans="1:15" ht="30" customHeight="1" x14ac:dyDescent="0.4">
      <c r="A14" s="5" t="s">
        <v>350</v>
      </c>
      <c r="B14" s="16"/>
      <c r="C14" s="16"/>
      <c r="D14" s="16"/>
      <c r="E14" s="16"/>
      <c r="F14" s="16"/>
      <c r="G14" s="16"/>
      <c r="H14" s="16"/>
      <c r="I14" s="16"/>
      <c r="J14" s="16"/>
      <c r="K14" s="16"/>
      <c r="L14" s="16"/>
      <c r="M14" s="16"/>
      <c r="N14" s="16"/>
      <c r="O14" s="16"/>
    </row>
    <row r="15" spans="1:15" x14ac:dyDescent="0.35">
      <c r="A15" s="11" t="s">
        <v>386</v>
      </c>
      <c r="B15" s="16" t="s">
        <v>387</v>
      </c>
      <c r="C15" s="16" t="s">
        <v>388</v>
      </c>
      <c r="D15" s="16" t="s">
        <v>389</v>
      </c>
      <c r="E15" s="16" t="s">
        <v>390</v>
      </c>
      <c r="F15" s="16" t="s">
        <v>391</v>
      </c>
      <c r="G15" s="16" t="s">
        <v>392</v>
      </c>
      <c r="H15" s="16" t="s">
        <v>393</v>
      </c>
      <c r="I15" s="16" t="s">
        <v>394</v>
      </c>
      <c r="J15" s="16"/>
      <c r="K15" s="16"/>
      <c r="L15" s="16"/>
      <c r="M15" s="16"/>
      <c r="N15" s="16"/>
      <c r="O15" s="16"/>
    </row>
    <row r="16" spans="1:15" x14ac:dyDescent="0.35">
      <c r="A16" s="8" t="s">
        <v>493</v>
      </c>
      <c r="B16" s="15">
        <v>0.65</v>
      </c>
      <c r="C16" s="15">
        <v>0.64</v>
      </c>
      <c r="D16" s="15">
        <v>0.65</v>
      </c>
      <c r="E16" s="15">
        <v>0.64</v>
      </c>
      <c r="F16" s="15">
        <v>0.6</v>
      </c>
      <c r="G16" s="15">
        <v>0.59</v>
      </c>
      <c r="H16" s="15">
        <v>0.56999999999999995</v>
      </c>
      <c r="I16" s="15">
        <v>0.56999999999999995</v>
      </c>
      <c r="J16" s="15"/>
      <c r="K16" s="15"/>
      <c r="L16" s="15"/>
      <c r="M16" s="15"/>
      <c r="N16" s="15"/>
      <c r="O16" s="15"/>
    </row>
    <row r="17" spans="1:15" x14ac:dyDescent="0.35">
      <c r="A17" s="11" t="s">
        <v>494</v>
      </c>
      <c r="B17" s="16">
        <v>0.09</v>
      </c>
      <c r="C17" s="16">
        <v>0.08</v>
      </c>
      <c r="D17" s="16">
        <v>0.08</v>
      </c>
      <c r="E17" s="16">
        <v>0.09</v>
      </c>
      <c r="F17" s="16">
        <v>0.08</v>
      </c>
      <c r="G17" s="16">
        <v>7.0000000000000007E-2</v>
      </c>
      <c r="H17" s="16">
        <v>0.08</v>
      </c>
      <c r="I17" s="16">
        <v>0.08</v>
      </c>
      <c r="J17" s="16"/>
      <c r="K17" s="16"/>
      <c r="L17" s="16"/>
      <c r="M17" s="16"/>
      <c r="N17" s="16"/>
      <c r="O17" s="16"/>
    </row>
    <row r="18" spans="1:15" x14ac:dyDescent="0.35">
      <c r="A18" s="11" t="s">
        <v>495</v>
      </c>
      <c r="B18" s="16">
        <v>0.08</v>
      </c>
      <c r="C18" s="16">
        <v>7.0000000000000007E-2</v>
      </c>
      <c r="D18" s="16">
        <v>7.0000000000000007E-2</v>
      </c>
      <c r="E18" s="16">
        <v>7.0000000000000007E-2</v>
      </c>
      <c r="F18" s="16">
        <v>0.08</v>
      </c>
      <c r="G18" s="16">
        <v>0.08</v>
      </c>
      <c r="H18" s="16">
        <v>0.08</v>
      </c>
      <c r="I18" s="16">
        <v>0.09</v>
      </c>
      <c r="J18" s="16"/>
      <c r="K18" s="16"/>
      <c r="L18" s="16"/>
      <c r="M18" s="16"/>
      <c r="N18" s="16"/>
      <c r="O18" s="16"/>
    </row>
    <row r="19" spans="1:15" x14ac:dyDescent="0.35">
      <c r="A19" s="11" t="s">
        <v>496</v>
      </c>
      <c r="B19" s="16">
        <v>0.08</v>
      </c>
      <c r="C19" s="16">
        <v>7.0000000000000007E-2</v>
      </c>
      <c r="D19" s="16">
        <v>0.06</v>
      </c>
      <c r="E19" s="16">
        <v>0.09</v>
      </c>
      <c r="F19" s="16">
        <v>0.09</v>
      </c>
      <c r="G19" s="16">
        <v>0.1</v>
      </c>
      <c r="H19" s="16">
        <v>0.1</v>
      </c>
      <c r="I19" s="16">
        <v>0.11</v>
      </c>
      <c r="J19" s="16"/>
      <c r="K19" s="16"/>
      <c r="L19" s="16"/>
      <c r="M19" s="16"/>
      <c r="N19" s="16"/>
      <c r="O19" s="16"/>
    </row>
    <row r="20" spans="1:15" x14ac:dyDescent="0.35">
      <c r="A20" s="11" t="s">
        <v>497</v>
      </c>
      <c r="B20" s="16">
        <v>0.11</v>
      </c>
      <c r="C20" s="16">
        <v>0.13</v>
      </c>
      <c r="D20" s="16">
        <v>0.14000000000000001</v>
      </c>
      <c r="E20" s="16">
        <v>0.11</v>
      </c>
      <c r="F20" s="16">
        <v>0.15</v>
      </c>
      <c r="G20" s="16">
        <v>0.16</v>
      </c>
      <c r="H20" s="16">
        <v>0.17</v>
      </c>
      <c r="I20" s="16">
        <v>0.15</v>
      </c>
      <c r="J20" s="16"/>
      <c r="K20" s="16"/>
      <c r="L20" s="16"/>
      <c r="M20" s="16"/>
      <c r="N20" s="16"/>
      <c r="O20" s="16"/>
    </row>
    <row r="21" spans="1:15" x14ac:dyDescent="0.35">
      <c r="A21" s="11" t="s">
        <v>395</v>
      </c>
      <c r="B21" s="16">
        <v>1</v>
      </c>
      <c r="C21" s="16">
        <v>1</v>
      </c>
      <c r="D21" s="16">
        <v>1</v>
      </c>
      <c r="E21" s="16">
        <v>1</v>
      </c>
      <c r="F21" s="16">
        <v>1</v>
      </c>
      <c r="G21" s="16">
        <v>1</v>
      </c>
      <c r="H21" s="16">
        <v>1</v>
      </c>
      <c r="I21" s="16">
        <v>1</v>
      </c>
      <c r="J21" s="16"/>
      <c r="K21" s="16"/>
      <c r="L21" s="16"/>
      <c r="M21" s="16"/>
      <c r="N21" s="16"/>
      <c r="O21" s="16"/>
    </row>
    <row r="22" spans="1:15" ht="30" customHeight="1" x14ac:dyDescent="0.4">
      <c r="A22" s="5" t="s">
        <v>351</v>
      </c>
      <c r="B22" s="16"/>
      <c r="C22" s="16"/>
      <c r="D22" s="16"/>
      <c r="E22" s="16"/>
      <c r="F22" s="16"/>
      <c r="G22" s="16"/>
      <c r="H22" s="16"/>
      <c r="I22" s="16"/>
      <c r="J22" s="16"/>
      <c r="K22" s="16"/>
      <c r="L22" s="16"/>
      <c r="M22" s="16"/>
      <c r="N22" s="16"/>
      <c r="O22" s="16"/>
    </row>
    <row r="23" spans="1:15" x14ac:dyDescent="0.35">
      <c r="A23" s="11" t="s">
        <v>386</v>
      </c>
      <c r="B23" s="16" t="s">
        <v>387</v>
      </c>
      <c r="C23" s="16" t="s">
        <v>388</v>
      </c>
      <c r="D23" s="16" t="s">
        <v>389</v>
      </c>
      <c r="E23" s="16" t="s">
        <v>390</v>
      </c>
      <c r="F23" s="16" t="s">
        <v>391</v>
      </c>
      <c r="G23" s="16" t="s">
        <v>392</v>
      </c>
      <c r="H23" s="16" t="s">
        <v>393</v>
      </c>
      <c r="I23" s="16" t="s">
        <v>394</v>
      </c>
      <c r="J23" s="16"/>
      <c r="K23" s="16"/>
      <c r="L23" s="16"/>
      <c r="M23" s="16"/>
      <c r="N23" s="16"/>
      <c r="O23" s="16"/>
    </row>
    <row r="24" spans="1:15" x14ac:dyDescent="0.35">
      <c r="A24" s="8" t="s">
        <v>493</v>
      </c>
      <c r="B24" s="12">
        <v>50</v>
      </c>
      <c r="C24" s="12">
        <v>50</v>
      </c>
      <c r="D24" s="12">
        <v>51</v>
      </c>
      <c r="E24" s="12">
        <v>54</v>
      </c>
      <c r="F24" s="12">
        <v>53</v>
      </c>
      <c r="G24" s="12">
        <v>51</v>
      </c>
      <c r="H24" s="12">
        <v>52</v>
      </c>
      <c r="I24" s="12">
        <v>55</v>
      </c>
      <c r="J24" s="12"/>
      <c r="K24" s="12"/>
      <c r="L24" s="12"/>
      <c r="M24" s="12"/>
      <c r="N24" s="12"/>
      <c r="O24" s="12"/>
    </row>
    <row r="25" spans="1:15" x14ac:dyDescent="0.35">
      <c r="A25" s="11" t="s">
        <v>494</v>
      </c>
      <c r="B25" s="13">
        <v>74</v>
      </c>
      <c r="C25" s="13">
        <v>75</v>
      </c>
      <c r="D25" s="13">
        <v>77</v>
      </c>
      <c r="E25" s="13">
        <v>77</v>
      </c>
      <c r="F25" s="13">
        <v>77</v>
      </c>
      <c r="G25" s="13">
        <v>78</v>
      </c>
      <c r="H25" s="13">
        <v>75</v>
      </c>
      <c r="I25" s="13">
        <v>77</v>
      </c>
      <c r="J25" s="13"/>
      <c r="K25" s="13"/>
      <c r="L25" s="13"/>
      <c r="M25" s="13"/>
      <c r="N25" s="13"/>
      <c r="O25" s="13"/>
    </row>
    <row r="26" spans="1:15" x14ac:dyDescent="0.35">
      <c r="A26" s="11" t="s">
        <v>495</v>
      </c>
      <c r="B26" s="13">
        <v>51</v>
      </c>
      <c r="C26" s="13">
        <v>53</v>
      </c>
      <c r="D26" s="13">
        <v>53</v>
      </c>
      <c r="E26" s="13">
        <v>54</v>
      </c>
      <c r="F26" s="13">
        <v>57</v>
      </c>
      <c r="G26" s="13">
        <v>57</v>
      </c>
      <c r="H26" s="13">
        <v>58</v>
      </c>
      <c r="I26" s="13">
        <v>57</v>
      </c>
      <c r="J26" s="13"/>
      <c r="K26" s="13"/>
      <c r="L26" s="13"/>
      <c r="M26" s="13"/>
      <c r="N26" s="13"/>
      <c r="O26" s="13"/>
    </row>
    <row r="27" spans="1:15" x14ac:dyDescent="0.35">
      <c r="A27" s="11" t="s">
        <v>496</v>
      </c>
      <c r="B27" s="13">
        <v>37</v>
      </c>
      <c r="C27" s="13">
        <v>36</v>
      </c>
      <c r="D27" s="13">
        <v>42</v>
      </c>
      <c r="E27" s="13">
        <v>44</v>
      </c>
      <c r="F27" s="13">
        <v>42</v>
      </c>
      <c r="G27" s="13">
        <v>38</v>
      </c>
      <c r="H27" s="13">
        <v>33</v>
      </c>
      <c r="I27" s="13">
        <v>35</v>
      </c>
      <c r="J27" s="13"/>
      <c r="K27" s="13"/>
      <c r="L27" s="13"/>
      <c r="M27" s="13"/>
      <c r="N27" s="13"/>
      <c r="O27" s="13"/>
    </row>
    <row r="28" spans="1:15" x14ac:dyDescent="0.35">
      <c r="A28" s="11" t="s">
        <v>497</v>
      </c>
      <c r="B28" s="13">
        <v>38</v>
      </c>
      <c r="C28" s="13">
        <v>36</v>
      </c>
      <c r="D28" s="13">
        <v>33</v>
      </c>
      <c r="E28" s="13">
        <v>38</v>
      </c>
      <c r="F28" s="13">
        <v>36</v>
      </c>
      <c r="G28" s="13">
        <v>34</v>
      </c>
      <c r="H28" s="13">
        <v>33</v>
      </c>
      <c r="I28" s="13">
        <v>38</v>
      </c>
      <c r="J28" s="13"/>
      <c r="K28" s="13"/>
      <c r="L28" s="13"/>
      <c r="M28" s="13"/>
      <c r="N28" s="13"/>
      <c r="O28" s="13"/>
    </row>
    <row r="29" spans="1:15" x14ac:dyDescent="0.35">
      <c r="A29" s="11" t="s">
        <v>395</v>
      </c>
      <c r="B29" s="13">
        <v>50</v>
      </c>
      <c r="C29" s="13">
        <v>50</v>
      </c>
      <c r="D29" s="13">
        <v>51</v>
      </c>
      <c r="E29" s="13">
        <v>53</v>
      </c>
      <c r="F29" s="13">
        <v>52</v>
      </c>
      <c r="G29" s="13">
        <v>50</v>
      </c>
      <c r="H29" s="13">
        <v>51</v>
      </c>
      <c r="I29" s="13">
        <v>53</v>
      </c>
      <c r="J29" s="13"/>
      <c r="K29" s="13"/>
      <c r="L29" s="13"/>
      <c r="M29" s="13"/>
      <c r="N29" s="13"/>
      <c r="O29" s="13"/>
    </row>
    <row r="30" spans="1:15" ht="30" customHeight="1" x14ac:dyDescent="0.4">
      <c r="A30" s="5" t="s">
        <v>352</v>
      </c>
      <c r="B30" s="13"/>
      <c r="C30" s="13"/>
      <c r="D30" s="13"/>
      <c r="E30" s="13"/>
      <c r="F30" s="13"/>
      <c r="G30" s="13"/>
      <c r="H30" s="13"/>
      <c r="I30" s="13"/>
      <c r="J30" s="13"/>
      <c r="K30" s="13"/>
      <c r="L30" s="13"/>
      <c r="M30" s="13"/>
      <c r="N30" s="13"/>
      <c r="O30" s="13"/>
    </row>
    <row r="31" spans="1:15" x14ac:dyDescent="0.35">
      <c r="A31" s="11" t="s">
        <v>386</v>
      </c>
      <c r="B31" s="13" t="s">
        <v>387</v>
      </c>
      <c r="C31" s="13" t="s">
        <v>388</v>
      </c>
      <c r="D31" s="13" t="s">
        <v>389</v>
      </c>
      <c r="E31" s="13" t="s">
        <v>390</v>
      </c>
      <c r="F31" s="13" t="s">
        <v>391</v>
      </c>
      <c r="G31" s="13" t="s">
        <v>392</v>
      </c>
      <c r="H31" s="13" t="s">
        <v>393</v>
      </c>
      <c r="I31" s="13" t="s">
        <v>394</v>
      </c>
      <c r="J31" s="13"/>
      <c r="K31" s="13"/>
      <c r="L31" s="13"/>
      <c r="M31" s="13"/>
      <c r="N31" s="13"/>
      <c r="O31" s="13"/>
    </row>
    <row r="32" spans="1:15" x14ac:dyDescent="0.35">
      <c r="A32" s="8" t="s">
        <v>493</v>
      </c>
      <c r="B32" s="12">
        <v>2778</v>
      </c>
      <c r="C32" s="12">
        <v>2046</v>
      </c>
      <c r="D32" s="12">
        <v>2108</v>
      </c>
      <c r="E32" s="12">
        <v>1905</v>
      </c>
      <c r="F32" s="12">
        <v>1686</v>
      </c>
      <c r="G32" s="12">
        <v>1600</v>
      </c>
      <c r="H32" s="12">
        <v>1500</v>
      </c>
      <c r="I32" s="12">
        <v>1262</v>
      </c>
      <c r="J32" s="12"/>
      <c r="K32" s="12"/>
      <c r="L32" s="12"/>
      <c r="M32" s="12"/>
      <c r="N32" s="12"/>
      <c r="O32" s="12"/>
    </row>
    <row r="33" spans="1:15" x14ac:dyDescent="0.35">
      <c r="A33" s="11" t="s">
        <v>494</v>
      </c>
      <c r="B33" s="13">
        <v>396</v>
      </c>
      <c r="C33" s="13">
        <v>269</v>
      </c>
      <c r="D33" s="13">
        <v>294</v>
      </c>
      <c r="E33" s="13">
        <v>298</v>
      </c>
      <c r="F33" s="13">
        <v>250</v>
      </c>
      <c r="G33" s="13">
        <v>227</v>
      </c>
      <c r="H33" s="13">
        <v>251</v>
      </c>
      <c r="I33" s="13">
        <v>192</v>
      </c>
      <c r="J33" s="13"/>
      <c r="K33" s="13"/>
      <c r="L33" s="13"/>
      <c r="M33" s="13"/>
      <c r="N33" s="13"/>
      <c r="O33" s="13"/>
    </row>
    <row r="34" spans="1:15" x14ac:dyDescent="0.35">
      <c r="A34" s="11" t="s">
        <v>495</v>
      </c>
      <c r="B34" s="13">
        <v>408</v>
      </c>
      <c r="C34" s="13">
        <v>298</v>
      </c>
      <c r="D34" s="13">
        <v>299</v>
      </c>
      <c r="E34" s="13">
        <v>275</v>
      </c>
      <c r="F34" s="13">
        <v>255</v>
      </c>
      <c r="G34" s="13">
        <v>254</v>
      </c>
      <c r="H34" s="13">
        <v>233</v>
      </c>
      <c r="I34" s="13">
        <v>184</v>
      </c>
      <c r="J34" s="13"/>
      <c r="K34" s="13"/>
      <c r="L34" s="13"/>
      <c r="M34" s="13"/>
      <c r="N34" s="13"/>
      <c r="O34" s="13"/>
    </row>
    <row r="35" spans="1:15" x14ac:dyDescent="0.35">
      <c r="A35" s="11" t="s">
        <v>496</v>
      </c>
      <c r="B35" s="13">
        <v>394</v>
      </c>
      <c r="C35" s="13">
        <v>257</v>
      </c>
      <c r="D35" s="13">
        <v>294</v>
      </c>
      <c r="E35" s="13">
        <v>286</v>
      </c>
      <c r="F35" s="13">
        <v>254</v>
      </c>
      <c r="G35" s="13">
        <v>258</v>
      </c>
      <c r="H35" s="13">
        <v>203</v>
      </c>
      <c r="I35" s="13">
        <v>158</v>
      </c>
      <c r="J35" s="13"/>
      <c r="K35" s="13"/>
      <c r="L35" s="13"/>
      <c r="M35" s="13"/>
      <c r="N35" s="13"/>
      <c r="O35" s="13"/>
    </row>
    <row r="36" spans="1:15" x14ac:dyDescent="0.35">
      <c r="A36" s="11" t="s">
        <v>497</v>
      </c>
      <c r="B36" s="13">
        <v>958</v>
      </c>
      <c r="C36" s="13">
        <v>619</v>
      </c>
      <c r="D36" s="13">
        <v>713</v>
      </c>
      <c r="E36" s="13">
        <v>583</v>
      </c>
      <c r="F36" s="13">
        <v>570</v>
      </c>
      <c r="G36" s="13">
        <v>538</v>
      </c>
      <c r="H36" s="13">
        <v>472</v>
      </c>
      <c r="I36" s="13">
        <v>388</v>
      </c>
      <c r="J36" s="13"/>
      <c r="K36" s="13"/>
      <c r="L36" s="13"/>
      <c r="M36" s="13"/>
      <c r="N36" s="13"/>
      <c r="O36" s="13"/>
    </row>
    <row r="37" spans="1:15" x14ac:dyDescent="0.35">
      <c r="A37" s="11" t="s">
        <v>395</v>
      </c>
      <c r="B37" s="13">
        <v>4934</v>
      </c>
      <c r="C37" s="13">
        <v>3489</v>
      </c>
      <c r="D37" s="13">
        <v>3708</v>
      </c>
      <c r="E37" s="13">
        <v>3347</v>
      </c>
      <c r="F37" s="13">
        <v>3015</v>
      </c>
      <c r="G37" s="13">
        <v>2877</v>
      </c>
      <c r="H37" s="13">
        <v>2659</v>
      </c>
      <c r="I37" s="13">
        <v>2184</v>
      </c>
      <c r="J37" s="13"/>
      <c r="K37" s="13"/>
      <c r="L37" s="13"/>
      <c r="M37" s="13"/>
      <c r="N37" s="13"/>
      <c r="O37" s="13"/>
    </row>
    <row r="38" spans="1:15" x14ac:dyDescent="0.35">
      <c r="A38" s="11"/>
      <c r="B38" s="13"/>
      <c r="C38" s="13"/>
      <c r="D38" s="13"/>
      <c r="E38" s="13"/>
      <c r="F38" s="13"/>
      <c r="G38" s="13"/>
      <c r="H38" s="13"/>
      <c r="I38" s="13"/>
      <c r="J38" s="13"/>
      <c r="K38" s="13"/>
      <c r="L38" s="13"/>
      <c r="M38" s="13"/>
      <c r="N38" s="13"/>
      <c r="O38" s="13"/>
    </row>
    <row r="39" spans="1:15" x14ac:dyDescent="0.35">
      <c r="A39" s="11"/>
      <c r="B39" s="13"/>
      <c r="C39" s="13"/>
      <c r="D39" s="13"/>
      <c r="E39" s="13"/>
      <c r="F39" s="13"/>
      <c r="G39" s="13"/>
      <c r="H39" s="13"/>
      <c r="I39" s="13"/>
      <c r="J39" s="13"/>
      <c r="K39" s="13"/>
      <c r="L39" s="13"/>
      <c r="M39" s="13"/>
      <c r="N39" s="13"/>
      <c r="O39" s="13"/>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359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358</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407</v>
      </c>
      <c r="B7" s="15">
        <v>0.33</v>
      </c>
      <c r="C7" s="15">
        <v>0.39</v>
      </c>
      <c r="D7" s="15">
        <v>0.38</v>
      </c>
      <c r="E7" s="15">
        <v>0.33</v>
      </c>
      <c r="F7" s="15">
        <v>0.42</v>
      </c>
      <c r="G7" s="15">
        <v>0.5</v>
      </c>
      <c r="H7" s="15">
        <v>0.53</v>
      </c>
      <c r="I7" s="15">
        <v>0.48</v>
      </c>
      <c r="J7" s="15"/>
      <c r="K7" s="15"/>
      <c r="L7" s="15"/>
      <c r="M7" s="15"/>
      <c r="N7" s="15"/>
      <c r="O7" s="15"/>
    </row>
    <row r="8" spans="1:15" x14ac:dyDescent="0.35">
      <c r="A8" s="11" t="s">
        <v>408</v>
      </c>
      <c r="B8" s="16">
        <v>0.66</v>
      </c>
      <c r="C8" s="16">
        <v>0.66</v>
      </c>
      <c r="D8" s="16">
        <v>0.66</v>
      </c>
      <c r="E8" s="16">
        <v>0.61</v>
      </c>
      <c r="F8" s="16">
        <v>0.69</v>
      </c>
      <c r="G8" s="16">
        <v>0.77</v>
      </c>
      <c r="H8" s="16">
        <v>0.81</v>
      </c>
      <c r="I8" s="16">
        <v>0.78</v>
      </c>
      <c r="J8" s="16"/>
      <c r="K8" s="16"/>
      <c r="L8" s="16"/>
      <c r="M8" s="16"/>
      <c r="N8" s="16"/>
      <c r="O8" s="16"/>
    </row>
    <row r="9" spans="1:15" x14ac:dyDescent="0.35">
      <c r="A9" s="11" t="s">
        <v>409</v>
      </c>
      <c r="B9" s="16">
        <v>0.7</v>
      </c>
      <c r="C9" s="16">
        <v>0.71</v>
      </c>
      <c r="D9" s="16">
        <v>0.72</v>
      </c>
      <c r="E9" s="16">
        <v>0.73</v>
      </c>
      <c r="F9" s="16">
        <v>0.74</v>
      </c>
      <c r="G9" s="16">
        <v>0.74</v>
      </c>
      <c r="H9" s="16">
        <v>0.74</v>
      </c>
      <c r="I9" s="16">
        <v>0.77</v>
      </c>
      <c r="J9" s="16"/>
      <c r="K9" s="16"/>
      <c r="L9" s="16"/>
      <c r="M9" s="16"/>
      <c r="N9" s="16"/>
      <c r="O9" s="16"/>
    </row>
    <row r="10" spans="1:15" x14ac:dyDescent="0.35">
      <c r="A10" s="11" t="s">
        <v>410</v>
      </c>
      <c r="B10" s="16">
        <v>0.65</v>
      </c>
      <c r="C10" s="16">
        <v>0.65</v>
      </c>
      <c r="D10" s="16">
        <v>0.69</v>
      </c>
      <c r="E10" s="16">
        <v>0.72</v>
      </c>
      <c r="F10" s="16">
        <v>0.76</v>
      </c>
      <c r="G10" s="16">
        <v>0.76</v>
      </c>
      <c r="H10" s="16">
        <v>0.74</v>
      </c>
      <c r="I10" s="16">
        <v>0.76</v>
      </c>
      <c r="J10" s="16"/>
      <c r="K10" s="16"/>
      <c r="L10" s="16"/>
      <c r="M10" s="16"/>
      <c r="N10" s="16"/>
      <c r="O10" s="16"/>
    </row>
    <row r="11" spans="1:15" x14ac:dyDescent="0.35">
      <c r="A11" s="11" t="s">
        <v>411</v>
      </c>
      <c r="B11" s="16">
        <v>0.64</v>
      </c>
      <c r="C11" s="16">
        <v>0.65</v>
      </c>
      <c r="D11" s="16">
        <v>0.63</v>
      </c>
      <c r="E11" s="16">
        <v>0.64</v>
      </c>
      <c r="F11" s="16">
        <v>0.64</v>
      </c>
      <c r="G11" s="16">
        <v>0.7</v>
      </c>
      <c r="H11" s="16">
        <v>0.69</v>
      </c>
      <c r="I11" s="16">
        <v>0.7</v>
      </c>
      <c r="J11" s="16"/>
      <c r="K11" s="16"/>
      <c r="L11" s="16"/>
      <c r="M11" s="16"/>
      <c r="N11" s="16"/>
      <c r="O11" s="16"/>
    </row>
    <row r="12" spans="1:15" x14ac:dyDescent="0.35">
      <c r="A12" s="11" t="s">
        <v>412</v>
      </c>
      <c r="B12" s="16">
        <v>0.61</v>
      </c>
      <c r="C12" s="16">
        <v>0.61</v>
      </c>
      <c r="D12" s="16">
        <v>0.62</v>
      </c>
      <c r="E12" s="16">
        <v>0.63</v>
      </c>
      <c r="F12" s="16">
        <v>0.64</v>
      </c>
      <c r="G12" s="16">
        <v>0.66</v>
      </c>
      <c r="H12" s="16">
        <v>0.67</v>
      </c>
      <c r="I12" s="16">
        <v>0.7</v>
      </c>
      <c r="J12" s="16"/>
      <c r="K12" s="16"/>
      <c r="L12" s="16"/>
      <c r="M12" s="16"/>
      <c r="N12" s="16"/>
      <c r="O12" s="16"/>
    </row>
    <row r="13" spans="1:15" x14ac:dyDescent="0.35">
      <c r="A13" s="11" t="s">
        <v>395</v>
      </c>
      <c r="B13" s="16">
        <v>0.56999999999999995</v>
      </c>
      <c r="C13" s="16">
        <v>0.59</v>
      </c>
      <c r="D13" s="16">
        <v>0.59</v>
      </c>
      <c r="E13" s="16">
        <v>0.59</v>
      </c>
      <c r="F13" s="16">
        <v>0.63</v>
      </c>
      <c r="G13" s="16">
        <v>0.67</v>
      </c>
      <c r="H13" s="16">
        <v>0.69</v>
      </c>
      <c r="I13" s="16">
        <v>0.68</v>
      </c>
      <c r="J13" s="16"/>
      <c r="K13" s="16"/>
      <c r="L13" s="16"/>
      <c r="M13" s="16"/>
      <c r="N13" s="16"/>
      <c r="O13" s="16"/>
    </row>
    <row r="14" spans="1:15" ht="30" customHeight="1" x14ac:dyDescent="0.4">
      <c r="A14" s="5" t="s">
        <v>355</v>
      </c>
      <c r="B14" s="16"/>
      <c r="C14" s="16"/>
      <c r="D14" s="16"/>
      <c r="E14" s="16"/>
      <c r="F14" s="16"/>
      <c r="G14" s="16"/>
      <c r="H14" s="16"/>
      <c r="I14" s="16"/>
      <c r="J14" s="16"/>
      <c r="K14" s="16"/>
      <c r="L14" s="16"/>
      <c r="M14" s="16"/>
      <c r="N14" s="16"/>
      <c r="O14" s="16"/>
    </row>
    <row r="15" spans="1:15" x14ac:dyDescent="0.35">
      <c r="A15" s="11" t="s">
        <v>386</v>
      </c>
      <c r="B15" s="16" t="s">
        <v>387</v>
      </c>
      <c r="C15" s="16" t="s">
        <v>388</v>
      </c>
      <c r="D15" s="16" t="s">
        <v>389</v>
      </c>
      <c r="E15" s="16" t="s">
        <v>390</v>
      </c>
      <c r="F15" s="16" t="s">
        <v>391</v>
      </c>
      <c r="G15" s="16" t="s">
        <v>392</v>
      </c>
      <c r="H15" s="16" t="s">
        <v>393</v>
      </c>
      <c r="I15" s="16" t="s">
        <v>394</v>
      </c>
      <c r="J15" s="16"/>
      <c r="K15" s="16"/>
      <c r="L15" s="16"/>
      <c r="M15" s="16"/>
      <c r="N15" s="16"/>
      <c r="O15" s="16"/>
    </row>
    <row r="16" spans="1:15" x14ac:dyDescent="0.35">
      <c r="A16" s="8" t="s">
        <v>407</v>
      </c>
      <c r="B16" s="15">
        <v>0.15</v>
      </c>
      <c r="C16" s="15">
        <v>0.18</v>
      </c>
      <c r="D16" s="15">
        <v>0.18</v>
      </c>
      <c r="E16" s="15">
        <v>0.14000000000000001</v>
      </c>
      <c r="F16" s="15">
        <v>0.16</v>
      </c>
      <c r="G16" s="15">
        <v>0.19</v>
      </c>
      <c r="H16" s="15">
        <v>0.2</v>
      </c>
      <c r="I16" s="15">
        <v>0.17</v>
      </c>
      <c r="J16" s="15"/>
      <c r="K16" s="15"/>
      <c r="L16" s="15"/>
      <c r="M16" s="15"/>
      <c r="N16" s="15"/>
      <c r="O16" s="15"/>
    </row>
    <row r="17" spans="1:15" x14ac:dyDescent="0.35">
      <c r="A17" s="11" t="s">
        <v>408</v>
      </c>
      <c r="B17" s="16">
        <v>0.23</v>
      </c>
      <c r="C17" s="16">
        <v>0.2</v>
      </c>
      <c r="D17" s="16">
        <v>0.18</v>
      </c>
      <c r="E17" s="16">
        <v>0.17</v>
      </c>
      <c r="F17" s="16">
        <v>0.16</v>
      </c>
      <c r="G17" s="16">
        <v>0.19</v>
      </c>
      <c r="H17" s="16">
        <v>0.19</v>
      </c>
      <c r="I17" s="16">
        <v>0.16</v>
      </c>
      <c r="J17" s="16"/>
      <c r="K17" s="16"/>
      <c r="L17" s="16"/>
      <c r="M17" s="16"/>
      <c r="N17" s="16"/>
      <c r="O17" s="16"/>
    </row>
    <row r="18" spans="1:15" x14ac:dyDescent="0.35">
      <c r="A18" s="11" t="s">
        <v>409</v>
      </c>
      <c r="B18" s="16">
        <v>0.21</v>
      </c>
      <c r="C18" s="16">
        <v>0.22</v>
      </c>
      <c r="D18" s="16">
        <v>0.22</v>
      </c>
      <c r="E18" s="16">
        <v>0.22</v>
      </c>
      <c r="F18" s="16">
        <v>0.23</v>
      </c>
      <c r="G18" s="16">
        <v>0.21</v>
      </c>
      <c r="H18" s="16">
        <v>0.2</v>
      </c>
      <c r="I18" s="16">
        <v>0.2</v>
      </c>
      <c r="J18" s="16"/>
      <c r="K18" s="16"/>
      <c r="L18" s="16"/>
      <c r="M18" s="16"/>
      <c r="N18" s="16"/>
      <c r="O18" s="16"/>
    </row>
    <row r="19" spans="1:15" x14ac:dyDescent="0.35">
      <c r="A19" s="11" t="s">
        <v>410</v>
      </c>
      <c r="B19" s="16">
        <v>0.19</v>
      </c>
      <c r="C19" s="16">
        <v>0.17</v>
      </c>
      <c r="D19" s="16">
        <v>0.18</v>
      </c>
      <c r="E19" s="16">
        <v>0.2</v>
      </c>
      <c r="F19" s="16">
        <v>0.19</v>
      </c>
      <c r="G19" s="16">
        <v>0.19</v>
      </c>
      <c r="H19" s="16">
        <v>0.18</v>
      </c>
      <c r="I19" s="16">
        <v>0.2</v>
      </c>
      <c r="J19" s="16"/>
      <c r="K19" s="16"/>
      <c r="L19" s="16"/>
      <c r="M19" s="16"/>
      <c r="N19" s="16"/>
      <c r="O19" s="16"/>
    </row>
    <row r="20" spans="1:15" x14ac:dyDescent="0.35">
      <c r="A20" s="11" t="s">
        <v>411</v>
      </c>
      <c r="B20" s="16">
        <v>0.13</v>
      </c>
      <c r="C20" s="16">
        <v>0.13</v>
      </c>
      <c r="D20" s="16">
        <v>0.13</v>
      </c>
      <c r="E20" s="16">
        <v>0.16</v>
      </c>
      <c r="F20" s="16">
        <v>0.14000000000000001</v>
      </c>
      <c r="G20" s="16">
        <v>0.13</v>
      </c>
      <c r="H20" s="16">
        <v>0.14000000000000001</v>
      </c>
      <c r="I20" s="16">
        <v>0.15</v>
      </c>
      <c r="J20" s="16"/>
      <c r="K20" s="16"/>
      <c r="L20" s="16"/>
      <c r="M20" s="16"/>
      <c r="N20" s="16"/>
      <c r="O20" s="16"/>
    </row>
    <row r="21" spans="1:15" x14ac:dyDescent="0.35">
      <c r="A21" s="11" t="s">
        <v>412</v>
      </c>
      <c r="B21" s="16">
        <v>0.1</v>
      </c>
      <c r="C21" s="16">
        <v>0.09</v>
      </c>
      <c r="D21" s="16">
        <v>0.1</v>
      </c>
      <c r="E21" s="16">
        <v>0.11</v>
      </c>
      <c r="F21" s="16">
        <v>0.12</v>
      </c>
      <c r="G21" s="16">
        <v>0.09</v>
      </c>
      <c r="H21" s="16">
        <v>0.1</v>
      </c>
      <c r="I21" s="16">
        <v>0.11</v>
      </c>
      <c r="J21" s="16"/>
      <c r="K21" s="16"/>
      <c r="L21" s="16"/>
      <c r="M21" s="16"/>
      <c r="N21" s="16"/>
      <c r="O21" s="16"/>
    </row>
    <row r="22" spans="1:15" x14ac:dyDescent="0.35">
      <c r="A22" s="11" t="s">
        <v>395</v>
      </c>
      <c r="B22" s="16">
        <v>1</v>
      </c>
      <c r="C22" s="16">
        <v>1</v>
      </c>
      <c r="D22" s="16">
        <v>1</v>
      </c>
      <c r="E22" s="16">
        <v>1</v>
      </c>
      <c r="F22" s="16">
        <v>1</v>
      </c>
      <c r="G22" s="16">
        <v>1</v>
      </c>
      <c r="H22" s="16">
        <v>1</v>
      </c>
      <c r="I22" s="16">
        <v>1</v>
      </c>
      <c r="J22" s="16"/>
      <c r="K22" s="16"/>
      <c r="L22" s="16"/>
      <c r="M22" s="16"/>
      <c r="N22" s="16"/>
      <c r="O22" s="16"/>
    </row>
    <row r="23" spans="1:15" ht="30" customHeight="1" x14ac:dyDescent="0.4">
      <c r="A23" s="5" t="s">
        <v>356</v>
      </c>
      <c r="B23" s="16"/>
      <c r="C23" s="16"/>
      <c r="D23" s="16"/>
      <c r="E23" s="16"/>
      <c r="F23" s="16"/>
      <c r="G23" s="16"/>
      <c r="H23" s="16"/>
      <c r="I23" s="16"/>
      <c r="J23" s="16"/>
      <c r="K23" s="16"/>
      <c r="L23" s="16"/>
      <c r="M23" s="16"/>
      <c r="N23" s="16"/>
      <c r="O23" s="16"/>
    </row>
    <row r="24" spans="1:15" x14ac:dyDescent="0.35">
      <c r="A24" s="11" t="s">
        <v>386</v>
      </c>
      <c r="B24" s="16" t="s">
        <v>387</v>
      </c>
      <c r="C24" s="16" t="s">
        <v>388</v>
      </c>
      <c r="D24" s="16" t="s">
        <v>389</v>
      </c>
      <c r="E24" s="16" t="s">
        <v>390</v>
      </c>
      <c r="F24" s="16" t="s">
        <v>391</v>
      </c>
      <c r="G24" s="16" t="s">
        <v>392</v>
      </c>
      <c r="H24" s="16" t="s">
        <v>393</v>
      </c>
      <c r="I24" s="16" t="s">
        <v>394</v>
      </c>
      <c r="J24" s="16"/>
      <c r="K24" s="16"/>
      <c r="L24" s="16"/>
      <c r="M24" s="16"/>
      <c r="N24" s="16"/>
      <c r="O24" s="16"/>
    </row>
    <row r="25" spans="1:15" x14ac:dyDescent="0.35">
      <c r="A25" s="8" t="s">
        <v>407</v>
      </c>
      <c r="B25" s="12">
        <v>29</v>
      </c>
      <c r="C25" s="12">
        <v>29</v>
      </c>
      <c r="D25" s="12">
        <v>29</v>
      </c>
      <c r="E25" s="12">
        <v>30</v>
      </c>
      <c r="F25" s="12">
        <v>30</v>
      </c>
      <c r="G25" s="12">
        <v>29</v>
      </c>
      <c r="H25" s="12">
        <v>28</v>
      </c>
      <c r="I25" s="12">
        <v>29</v>
      </c>
      <c r="J25" s="12"/>
      <c r="K25" s="12"/>
      <c r="L25" s="12"/>
      <c r="M25" s="12"/>
      <c r="N25" s="12"/>
      <c r="O25" s="12"/>
    </row>
    <row r="26" spans="1:15" x14ac:dyDescent="0.35">
      <c r="A26" s="11" t="s">
        <v>408</v>
      </c>
      <c r="B26" s="13">
        <v>40</v>
      </c>
      <c r="C26" s="13">
        <v>40</v>
      </c>
      <c r="D26" s="13">
        <v>40</v>
      </c>
      <c r="E26" s="13">
        <v>40</v>
      </c>
      <c r="F26" s="13">
        <v>40</v>
      </c>
      <c r="G26" s="13">
        <v>40</v>
      </c>
      <c r="H26" s="13">
        <v>39</v>
      </c>
      <c r="I26" s="13">
        <v>40</v>
      </c>
      <c r="J26" s="13"/>
      <c r="K26" s="13"/>
      <c r="L26" s="13"/>
      <c r="M26" s="13"/>
      <c r="N26" s="13"/>
      <c r="O26" s="13"/>
    </row>
    <row r="27" spans="1:15" x14ac:dyDescent="0.35">
      <c r="A27" s="11" t="s">
        <v>409</v>
      </c>
      <c r="B27" s="13">
        <v>49</v>
      </c>
      <c r="C27" s="13">
        <v>49</v>
      </c>
      <c r="D27" s="13">
        <v>50</v>
      </c>
      <c r="E27" s="13">
        <v>50</v>
      </c>
      <c r="F27" s="13">
        <v>50</v>
      </c>
      <c r="G27" s="13">
        <v>49</v>
      </c>
      <c r="H27" s="13">
        <v>50</v>
      </c>
      <c r="I27" s="13">
        <v>50</v>
      </c>
      <c r="J27" s="13"/>
      <c r="K27" s="13"/>
      <c r="L27" s="13"/>
      <c r="M27" s="13"/>
      <c r="N27" s="13"/>
      <c r="O27" s="13"/>
    </row>
    <row r="28" spans="1:15" x14ac:dyDescent="0.35">
      <c r="A28" s="11" t="s">
        <v>410</v>
      </c>
      <c r="B28" s="13">
        <v>59</v>
      </c>
      <c r="C28" s="13">
        <v>59</v>
      </c>
      <c r="D28" s="13">
        <v>60</v>
      </c>
      <c r="E28" s="13">
        <v>60</v>
      </c>
      <c r="F28" s="13">
        <v>59</v>
      </c>
      <c r="G28" s="13">
        <v>59</v>
      </c>
      <c r="H28" s="13">
        <v>59</v>
      </c>
      <c r="I28" s="13">
        <v>59</v>
      </c>
      <c r="J28" s="13"/>
      <c r="K28" s="13"/>
      <c r="L28" s="13"/>
      <c r="M28" s="13"/>
      <c r="N28" s="13"/>
      <c r="O28" s="13"/>
    </row>
    <row r="29" spans="1:15" x14ac:dyDescent="0.35">
      <c r="A29" s="11" t="s">
        <v>411</v>
      </c>
      <c r="B29" s="13">
        <v>69</v>
      </c>
      <c r="C29" s="13">
        <v>69</v>
      </c>
      <c r="D29" s="13">
        <v>69</v>
      </c>
      <c r="E29" s="13">
        <v>69</v>
      </c>
      <c r="F29" s="13">
        <v>69</v>
      </c>
      <c r="G29" s="13">
        <v>69</v>
      </c>
      <c r="H29" s="13">
        <v>69</v>
      </c>
      <c r="I29" s="13">
        <v>69</v>
      </c>
      <c r="J29" s="13"/>
      <c r="K29" s="13"/>
      <c r="L29" s="13"/>
      <c r="M29" s="13"/>
      <c r="N29" s="13"/>
      <c r="O29" s="13"/>
    </row>
    <row r="30" spans="1:15" x14ac:dyDescent="0.35">
      <c r="A30" s="11" t="s">
        <v>412</v>
      </c>
      <c r="B30" s="13">
        <v>79</v>
      </c>
      <c r="C30" s="13">
        <v>79</v>
      </c>
      <c r="D30" s="13">
        <v>80</v>
      </c>
      <c r="E30" s="13">
        <v>80</v>
      </c>
      <c r="F30" s="13">
        <v>80</v>
      </c>
      <c r="G30" s="13">
        <v>81</v>
      </c>
      <c r="H30" s="13">
        <v>80</v>
      </c>
      <c r="I30" s="13">
        <v>81</v>
      </c>
      <c r="J30" s="13"/>
      <c r="K30" s="13"/>
      <c r="L30" s="13"/>
      <c r="M30" s="13"/>
      <c r="N30" s="13"/>
      <c r="O30" s="13"/>
    </row>
    <row r="31" spans="1:15" x14ac:dyDescent="0.35">
      <c r="A31" s="11" t="s">
        <v>395</v>
      </c>
      <c r="B31" s="13">
        <v>50</v>
      </c>
      <c r="C31" s="13">
        <v>50</v>
      </c>
      <c r="D31" s="13">
        <v>51</v>
      </c>
      <c r="E31" s="13">
        <v>53</v>
      </c>
      <c r="F31" s="13">
        <v>52</v>
      </c>
      <c r="G31" s="13">
        <v>50</v>
      </c>
      <c r="H31" s="13">
        <v>51</v>
      </c>
      <c r="I31" s="13">
        <v>53</v>
      </c>
      <c r="J31" s="13"/>
      <c r="K31" s="13"/>
      <c r="L31" s="13"/>
      <c r="M31" s="13"/>
      <c r="N31" s="13"/>
      <c r="O31" s="13"/>
    </row>
    <row r="32" spans="1:15" ht="30" customHeight="1" x14ac:dyDescent="0.4">
      <c r="A32" s="5" t="s">
        <v>357</v>
      </c>
      <c r="B32" s="13"/>
      <c r="C32" s="13"/>
      <c r="D32" s="13"/>
      <c r="E32" s="13"/>
      <c r="F32" s="13"/>
      <c r="G32" s="13"/>
      <c r="H32" s="13"/>
      <c r="I32" s="13"/>
      <c r="J32" s="13"/>
      <c r="K32" s="13"/>
      <c r="L32" s="13"/>
      <c r="M32" s="13"/>
      <c r="N32" s="13"/>
      <c r="O32" s="13"/>
    </row>
    <row r="33" spans="1:15" x14ac:dyDescent="0.35">
      <c r="A33" s="11" t="s">
        <v>386</v>
      </c>
      <c r="B33" s="13" t="s">
        <v>387</v>
      </c>
      <c r="C33" s="13" t="s">
        <v>388</v>
      </c>
      <c r="D33" s="13" t="s">
        <v>389</v>
      </c>
      <c r="E33" s="13" t="s">
        <v>390</v>
      </c>
      <c r="F33" s="13" t="s">
        <v>391</v>
      </c>
      <c r="G33" s="13" t="s">
        <v>392</v>
      </c>
      <c r="H33" s="13" t="s">
        <v>393</v>
      </c>
      <c r="I33" s="13" t="s">
        <v>394</v>
      </c>
      <c r="J33" s="13"/>
      <c r="K33" s="13"/>
      <c r="L33" s="13"/>
      <c r="M33" s="13"/>
      <c r="N33" s="13"/>
      <c r="O33" s="13"/>
    </row>
    <row r="34" spans="1:15" x14ac:dyDescent="0.35">
      <c r="A34" s="8" t="s">
        <v>407</v>
      </c>
      <c r="B34" s="12">
        <v>1081</v>
      </c>
      <c r="C34" s="12">
        <v>650</v>
      </c>
      <c r="D34" s="12">
        <v>749</v>
      </c>
      <c r="E34" s="12">
        <v>581</v>
      </c>
      <c r="F34" s="12">
        <v>505</v>
      </c>
      <c r="G34" s="12">
        <v>493</v>
      </c>
      <c r="H34" s="12">
        <v>432</v>
      </c>
      <c r="I34" s="12">
        <v>316</v>
      </c>
      <c r="J34" s="12"/>
      <c r="K34" s="12"/>
      <c r="L34" s="12"/>
      <c r="M34" s="12"/>
      <c r="N34" s="12"/>
      <c r="O34" s="12"/>
    </row>
    <row r="35" spans="1:15" x14ac:dyDescent="0.35">
      <c r="A35" s="11" t="s">
        <v>408</v>
      </c>
      <c r="B35" s="13">
        <v>924</v>
      </c>
      <c r="C35" s="13">
        <v>597</v>
      </c>
      <c r="D35" s="13">
        <v>559</v>
      </c>
      <c r="E35" s="13">
        <v>440</v>
      </c>
      <c r="F35" s="13">
        <v>379</v>
      </c>
      <c r="G35" s="13">
        <v>375</v>
      </c>
      <c r="H35" s="13">
        <v>298</v>
      </c>
      <c r="I35" s="13">
        <v>206</v>
      </c>
      <c r="J35" s="13"/>
      <c r="K35" s="13"/>
      <c r="L35" s="13"/>
      <c r="M35" s="13"/>
      <c r="N35" s="13"/>
      <c r="O35" s="13"/>
    </row>
    <row r="36" spans="1:15" x14ac:dyDescent="0.35">
      <c r="A36" s="11" t="s">
        <v>409</v>
      </c>
      <c r="B36" s="13">
        <v>858</v>
      </c>
      <c r="C36" s="13">
        <v>670</v>
      </c>
      <c r="D36" s="13">
        <v>667</v>
      </c>
      <c r="E36" s="13">
        <v>602</v>
      </c>
      <c r="F36" s="13">
        <v>551</v>
      </c>
      <c r="G36" s="13">
        <v>507</v>
      </c>
      <c r="H36" s="13">
        <v>441</v>
      </c>
      <c r="I36" s="13">
        <v>335</v>
      </c>
      <c r="J36" s="13"/>
      <c r="K36" s="13"/>
      <c r="L36" s="13"/>
      <c r="M36" s="13"/>
      <c r="N36" s="13"/>
      <c r="O36" s="13"/>
    </row>
    <row r="37" spans="1:15" x14ac:dyDescent="0.35">
      <c r="A37" s="11" t="s">
        <v>410</v>
      </c>
      <c r="B37" s="13">
        <v>915</v>
      </c>
      <c r="C37" s="13">
        <v>663</v>
      </c>
      <c r="D37" s="13">
        <v>711</v>
      </c>
      <c r="E37" s="13">
        <v>645</v>
      </c>
      <c r="F37" s="13">
        <v>562</v>
      </c>
      <c r="G37" s="13">
        <v>556</v>
      </c>
      <c r="H37" s="13">
        <v>509</v>
      </c>
      <c r="I37" s="13">
        <v>483</v>
      </c>
      <c r="J37" s="13"/>
      <c r="K37" s="13"/>
      <c r="L37" s="13"/>
      <c r="M37" s="13"/>
      <c r="N37" s="13"/>
      <c r="O37" s="13"/>
    </row>
    <row r="38" spans="1:15" x14ac:dyDescent="0.35">
      <c r="A38" s="11" t="s">
        <v>411</v>
      </c>
      <c r="B38" s="13">
        <v>687</v>
      </c>
      <c r="C38" s="13">
        <v>555</v>
      </c>
      <c r="D38" s="13">
        <v>612</v>
      </c>
      <c r="E38" s="13">
        <v>643</v>
      </c>
      <c r="F38" s="13">
        <v>594</v>
      </c>
      <c r="G38" s="13">
        <v>541</v>
      </c>
      <c r="H38" s="13">
        <v>574</v>
      </c>
      <c r="I38" s="13">
        <v>505</v>
      </c>
      <c r="J38" s="13"/>
      <c r="K38" s="13"/>
      <c r="L38" s="13"/>
      <c r="M38" s="13"/>
      <c r="N38" s="13"/>
      <c r="O38" s="13"/>
    </row>
    <row r="39" spans="1:15" x14ac:dyDescent="0.35">
      <c r="A39" s="11" t="s">
        <v>412</v>
      </c>
      <c r="B39" s="13">
        <v>469</v>
      </c>
      <c r="C39" s="13">
        <v>354</v>
      </c>
      <c r="D39" s="13">
        <v>410</v>
      </c>
      <c r="E39" s="13">
        <v>436</v>
      </c>
      <c r="F39" s="13">
        <v>424</v>
      </c>
      <c r="G39" s="13">
        <v>405</v>
      </c>
      <c r="H39" s="13">
        <v>405</v>
      </c>
      <c r="I39" s="13">
        <v>339</v>
      </c>
      <c r="J39" s="13"/>
      <c r="K39" s="13"/>
      <c r="L39" s="13"/>
      <c r="M39" s="13"/>
      <c r="N39" s="13"/>
      <c r="O39" s="13"/>
    </row>
    <row r="40" spans="1:15" x14ac:dyDescent="0.35">
      <c r="A40" s="11" t="s">
        <v>395</v>
      </c>
      <c r="B40" s="13">
        <v>4934</v>
      </c>
      <c r="C40" s="13">
        <v>3489</v>
      </c>
      <c r="D40" s="13">
        <v>3708</v>
      </c>
      <c r="E40" s="13">
        <v>3347</v>
      </c>
      <c r="F40" s="13">
        <v>3015</v>
      </c>
      <c r="G40" s="13">
        <v>2877</v>
      </c>
      <c r="H40" s="13">
        <v>2659</v>
      </c>
      <c r="I40" s="13">
        <v>2184</v>
      </c>
      <c r="J40" s="13"/>
      <c r="K40" s="13"/>
      <c r="L40" s="13"/>
      <c r="M40" s="13"/>
      <c r="N40" s="13"/>
      <c r="O40" s="13"/>
    </row>
    <row r="41" spans="1:15" x14ac:dyDescent="0.35">
      <c r="A41" s="11"/>
      <c r="B41" s="13"/>
      <c r="C41" s="13"/>
      <c r="D41" s="13"/>
      <c r="E41" s="13"/>
      <c r="F41" s="13"/>
      <c r="G41" s="13"/>
      <c r="H41" s="13"/>
      <c r="I41" s="13"/>
      <c r="J41" s="13"/>
      <c r="K41" s="13"/>
      <c r="L41" s="13"/>
      <c r="M41" s="13"/>
      <c r="N41" s="13"/>
      <c r="O41" s="13"/>
    </row>
    <row r="42" spans="1:15" x14ac:dyDescent="0.35">
      <c r="A42" s="11"/>
      <c r="B42" s="13"/>
      <c r="C42" s="13"/>
      <c r="D42" s="13"/>
      <c r="E42" s="13"/>
      <c r="F42" s="13"/>
      <c r="G42" s="13"/>
      <c r="H42" s="13"/>
      <c r="I42" s="13"/>
      <c r="J42" s="13"/>
      <c r="K42" s="13"/>
      <c r="L42" s="13"/>
      <c r="M42" s="13"/>
      <c r="N42" s="13"/>
      <c r="O42" s="13"/>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364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ht="29" x14ac:dyDescent="0.35">
      <c r="A4" s="8" t="s">
        <v>504</v>
      </c>
      <c r="B4" s="9"/>
      <c r="C4" s="9"/>
      <c r="D4" s="9"/>
      <c r="E4" s="9"/>
      <c r="F4" s="9"/>
      <c r="G4" s="9"/>
      <c r="H4" s="9"/>
      <c r="I4" s="9"/>
      <c r="J4" s="9"/>
      <c r="K4" s="9"/>
      <c r="L4" s="9"/>
      <c r="M4" s="9"/>
      <c r="N4" s="9"/>
      <c r="O4" s="9"/>
    </row>
    <row r="5" spans="1:15" x14ac:dyDescent="0.35">
      <c r="A5" s="10" t="s">
        <v>0</v>
      </c>
      <c r="B5" s="9"/>
      <c r="C5" s="9"/>
      <c r="D5" s="9"/>
      <c r="E5" s="9"/>
      <c r="F5" s="9"/>
      <c r="G5" s="9"/>
      <c r="H5" s="9"/>
      <c r="I5" s="9"/>
      <c r="J5" s="9"/>
      <c r="K5" s="9"/>
      <c r="L5" s="9"/>
      <c r="M5" s="9"/>
      <c r="N5" s="9"/>
      <c r="O5" s="9"/>
    </row>
    <row r="6" spans="1:15" ht="30" customHeight="1" x14ac:dyDescent="0.4">
      <c r="A6" s="5" t="s">
        <v>363</v>
      </c>
      <c r="B6" s="9"/>
      <c r="C6" s="9"/>
      <c r="D6" s="9"/>
      <c r="E6" s="9"/>
      <c r="F6" s="9"/>
      <c r="G6" s="9"/>
      <c r="H6" s="9"/>
      <c r="I6" s="9"/>
      <c r="J6" s="9"/>
      <c r="K6" s="9"/>
      <c r="L6" s="9"/>
      <c r="M6" s="9"/>
      <c r="N6" s="9"/>
      <c r="O6" s="9"/>
    </row>
    <row r="7" spans="1:15" x14ac:dyDescent="0.35">
      <c r="A7" s="11" t="s">
        <v>386</v>
      </c>
      <c r="B7" s="9" t="s">
        <v>387</v>
      </c>
      <c r="C7" s="9" t="s">
        <v>388</v>
      </c>
      <c r="D7" s="9" t="s">
        <v>389</v>
      </c>
      <c r="E7" s="9" t="s">
        <v>390</v>
      </c>
      <c r="F7" s="9" t="s">
        <v>391</v>
      </c>
      <c r="G7" s="9" t="s">
        <v>392</v>
      </c>
      <c r="H7" s="9" t="s">
        <v>393</v>
      </c>
      <c r="I7" s="9" t="s">
        <v>394</v>
      </c>
      <c r="J7" s="9"/>
      <c r="K7" s="9"/>
      <c r="L7" s="9"/>
      <c r="M7" s="9"/>
      <c r="N7" s="9"/>
      <c r="O7" s="9"/>
    </row>
    <row r="8" spans="1:15" x14ac:dyDescent="0.35">
      <c r="A8" s="8" t="s">
        <v>505</v>
      </c>
      <c r="B8" s="15">
        <v>0.61</v>
      </c>
      <c r="C8" s="15">
        <v>0.63</v>
      </c>
      <c r="D8" s="15">
        <v>0.65</v>
      </c>
      <c r="E8" s="15">
        <v>0.64</v>
      </c>
      <c r="F8" s="15">
        <v>0.64</v>
      </c>
      <c r="G8" s="15">
        <v>0.71</v>
      </c>
      <c r="H8" s="15">
        <v>0.72</v>
      </c>
      <c r="I8" s="15" t="s">
        <v>502</v>
      </c>
      <c r="J8" s="15"/>
      <c r="K8" s="15"/>
      <c r="L8" s="15"/>
      <c r="M8" s="15"/>
      <c r="N8" s="15"/>
      <c r="O8" s="15"/>
    </row>
    <row r="9" spans="1:15" x14ac:dyDescent="0.35">
      <c r="A9" s="11" t="s">
        <v>507</v>
      </c>
      <c r="B9" s="16">
        <v>0.54</v>
      </c>
      <c r="C9" s="16">
        <v>0.54</v>
      </c>
      <c r="D9" s="16">
        <v>0.59</v>
      </c>
      <c r="E9" s="16">
        <v>0.59</v>
      </c>
      <c r="F9" s="16">
        <v>0.67</v>
      </c>
      <c r="G9" s="16">
        <v>0.72</v>
      </c>
      <c r="H9" s="16">
        <v>0.74</v>
      </c>
      <c r="I9" s="16" t="s">
        <v>502</v>
      </c>
      <c r="J9" s="16"/>
      <c r="K9" s="16"/>
      <c r="L9" s="16"/>
      <c r="M9" s="16"/>
      <c r="N9" s="16"/>
      <c r="O9" s="16"/>
    </row>
    <row r="10" spans="1:15" x14ac:dyDescent="0.35">
      <c r="A10" s="11" t="s">
        <v>506</v>
      </c>
      <c r="B10" s="16">
        <v>0.31</v>
      </c>
      <c r="C10" s="16">
        <v>0.42</v>
      </c>
      <c r="D10" s="16">
        <v>0.42</v>
      </c>
      <c r="E10" s="16">
        <v>0.45</v>
      </c>
      <c r="F10" s="16">
        <v>0.68</v>
      </c>
      <c r="G10" s="16">
        <v>0.56999999999999995</v>
      </c>
      <c r="H10" s="16">
        <v>0.62</v>
      </c>
      <c r="I10" s="16" t="s">
        <v>502</v>
      </c>
      <c r="J10" s="16"/>
      <c r="K10" s="16"/>
      <c r="L10" s="16"/>
      <c r="M10" s="16"/>
      <c r="N10" s="16"/>
      <c r="O10" s="16"/>
    </row>
    <row r="11" spans="1:15" x14ac:dyDescent="0.35">
      <c r="A11" s="11" t="s">
        <v>395</v>
      </c>
      <c r="B11" s="16">
        <v>0.59</v>
      </c>
      <c r="C11" s="16">
        <v>0.61</v>
      </c>
      <c r="D11" s="16">
        <v>0.63</v>
      </c>
      <c r="E11" s="16">
        <v>0.62</v>
      </c>
      <c r="F11" s="16">
        <v>0.65</v>
      </c>
      <c r="G11" s="16">
        <v>0.71</v>
      </c>
      <c r="H11" s="16">
        <v>0.73</v>
      </c>
      <c r="I11" s="16" t="s">
        <v>502</v>
      </c>
      <c r="J11" s="16"/>
      <c r="K11" s="16"/>
      <c r="L11" s="16"/>
      <c r="M11" s="16"/>
      <c r="N11" s="16"/>
      <c r="O11" s="16"/>
    </row>
    <row r="12" spans="1:15" ht="30" customHeight="1" x14ac:dyDescent="0.4">
      <c r="A12" s="5" t="s">
        <v>360</v>
      </c>
      <c r="B12" s="16"/>
      <c r="C12" s="16"/>
      <c r="D12" s="16"/>
      <c r="E12" s="16"/>
      <c r="F12" s="16"/>
      <c r="G12" s="16"/>
      <c r="H12" s="16"/>
      <c r="I12" s="16"/>
      <c r="J12" s="16"/>
      <c r="K12" s="16"/>
      <c r="L12" s="16"/>
      <c r="M12" s="16"/>
      <c r="N12" s="16"/>
      <c r="O12" s="16"/>
    </row>
    <row r="13" spans="1:15" x14ac:dyDescent="0.35">
      <c r="A13" s="11" t="s">
        <v>386</v>
      </c>
      <c r="B13" s="16" t="s">
        <v>387</v>
      </c>
      <c r="C13" s="16" t="s">
        <v>388</v>
      </c>
      <c r="D13" s="16" t="s">
        <v>389</v>
      </c>
      <c r="E13" s="16" t="s">
        <v>390</v>
      </c>
      <c r="F13" s="16" t="s">
        <v>391</v>
      </c>
      <c r="G13" s="16" t="s">
        <v>392</v>
      </c>
      <c r="H13" s="16" t="s">
        <v>393</v>
      </c>
      <c r="I13" s="16" t="s">
        <v>394</v>
      </c>
      <c r="J13" s="16"/>
      <c r="K13" s="16"/>
      <c r="L13" s="16"/>
      <c r="M13" s="16"/>
      <c r="N13" s="16"/>
      <c r="O13" s="16"/>
    </row>
    <row r="14" spans="1:15" x14ac:dyDescent="0.35">
      <c r="A14" s="8" t="s">
        <v>505</v>
      </c>
      <c r="B14" s="15">
        <v>0.84</v>
      </c>
      <c r="C14" s="15">
        <v>0.82</v>
      </c>
      <c r="D14" s="15">
        <v>0.64</v>
      </c>
      <c r="E14" s="15">
        <v>0.63</v>
      </c>
      <c r="F14" s="15">
        <v>0.57999999999999996</v>
      </c>
      <c r="G14" s="15">
        <v>0.52</v>
      </c>
      <c r="H14" s="15">
        <v>0.5</v>
      </c>
      <c r="I14" s="15" t="s">
        <v>502</v>
      </c>
      <c r="J14" s="15"/>
      <c r="K14" s="15"/>
      <c r="L14" s="15"/>
      <c r="M14" s="15"/>
      <c r="N14" s="15"/>
      <c r="O14" s="15"/>
    </row>
    <row r="15" spans="1:15" x14ac:dyDescent="0.35">
      <c r="A15" s="11" t="s">
        <v>507</v>
      </c>
      <c r="B15" s="16">
        <v>0.15</v>
      </c>
      <c r="C15" s="16">
        <v>0.17</v>
      </c>
      <c r="D15" s="16">
        <v>0.35</v>
      </c>
      <c r="E15" s="16">
        <v>0.36</v>
      </c>
      <c r="F15" s="16">
        <v>0.39</v>
      </c>
      <c r="G15" s="16">
        <v>0.45</v>
      </c>
      <c r="H15" s="16">
        <v>0.47</v>
      </c>
      <c r="I15" s="16" t="s">
        <v>502</v>
      </c>
      <c r="J15" s="16"/>
      <c r="K15" s="16"/>
      <c r="L15" s="16"/>
      <c r="M15" s="16"/>
      <c r="N15" s="16"/>
      <c r="O15" s="16"/>
    </row>
    <row r="16" spans="1:15" x14ac:dyDescent="0.35">
      <c r="A16" s="11" t="s">
        <v>506</v>
      </c>
      <c r="B16" s="16">
        <v>0.01</v>
      </c>
      <c r="C16" s="16">
        <v>0.01</v>
      </c>
      <c r="D16" s="16">
        <v>0.01</v>
      </c>
      <c r="E16" s="16">
        <v>0.01</v>
      </c>
      <c r="F16" s="16">
        <v>0.03</v>
      </c>
      <c r="G16" s="16">
        <v>0.03</v>
      </c>
      <c r="H16" s="16">
        <v>0.03</v>
      </c>
      <c r="I16" s="16" t="s">
        <v>502</v>
      </c>
      <c r="J16" s="16"/>
      <c r="K16" s="16"/>
      <c r="L16" s="16"/>
      <c r="M16" s="16"/>
      <c r="N16" s="16"/>
      <c r="O16" s="16"/>
    </row>
    <row r="17" spans="1:15" x14ac:dyDescent="0.35">
      <c r="A17" s="11" t="s">
        <v>395</v>
      </c>
      <c r="B17" s="16">
        <v>1</v>
      </c>
      <c r="C17" s="16">
        <v>1</v>
      </c>
      <c r="D17" s="16">
        <v>1</v>
      </c>
      <c r="E17" s="16">
        <v>1</v>
      </c>
      <c r="F17" s="16">
        <v>1</v>
      </c>
      <c r="G17" s="16">
        <v>1</v>
      </c>
      <c r="H17" s="16">
        <v>1</v>
      </c>
      <c r="I17" s="16" t="s">
        <v>502</v>
      </c>
      <c r="J17" s="16"/>
      <c r="K17" s="16"/>
      <c r="L17" s="16"/>
      <c r="M17" s="16"/>
      <c r="N17" s="16"/>
      <c r="O17" s="16"/>
    </row>
    <row r="18" spans="1:15" ht="30" customHeight="1" x14ac:dyDescent="0.4">
      <c r="A18" s="5" t="s">
        <v>361</v>
      </c>
      <c r="B18" s="16"/>
      <c r="C18" s="16"/>
      <c r="D18" s="16"/>
      <c r="E18" s="16"/>
      <c r="F18" s="16"/>
      <c r="G18" s="16"/>
      <c r="H18" s="16"/>
      <c r="I18" s="16"/>
      <c r="J18" s="16"/>
      <c r="K18" s="16"/>
      <c r="L18" s="16"/>
      <c r="M18" s="16"/>
      <c r="N18" s="16"/>
      <c r="O18" s="16"/>
    </row>
    <row r="19" spans="1:15" x14ac:dyDescent="0.35">
      <c r="A19" s="11" t="s">
        <v>386</v>
      </c>
      <c r="B19" s="16" t="s">
        <v>387</v>
      </c>
      <c r="C19" s="16" t="s">
        <v>388</v>
      </c>
      <c r="D19" s="16" t="s">
        <v>389</v>
      </c>
      <c r="E19" s="16" t="s">
        <v>390</v>
      </c>
      <c r="F19" s="16" t="s">
        <v>391</v>
      </c>
      <c r="G19" s="16" t="s">
        <v>392</v>
      </c>
      <c r="H19" s="16" t="s">
        <v>393</v>
      </c>
      <c r="I19" s="16" t="s">
        <v>394</v>
      </c>
      <c r="J19" s="16"/>
      <c r="K19" s="16"/>
      <c r="L19" s="16"/>
      <c r="M19" s="16"/>
      <c r="N19" s="16"/>
      <c r="O19" s="16"/>
    </row>
    <row r="20" spans="1:15" x14ac:dyDescent="0.35">
      <c r="A20" s="8" t="s">
        <v>505</v>
      </c>
      <c r="B20" s="12">
        <v>53</v>
      </c>
      <c r="C20" s="12">
        <v>53</v>
      </c>
      <c r="D20" s="12">
        <v>54</v>
      </c>
      <c r="E20" s="12">
        <v>58</v>
      </c>
      <c r="F20" s="12">
        <v>58</v>
      </c>
      <c r="G20" s="12">
        <v>59</v>
      </c>
      <c r="H20" s="12">
        <v>58</v>
      </c>
      <c r="I20" s="12" t="s">
        <v>502</v>
      </c>
      <c r="J20" s="12"/>
      <c r="K20" s="12"/>
      <c r="L20" s="12"/>
      <c r="M20" s="12"/>
      <c r="N20" s="12"/>
      <c r="O20" s="12"/>
    </row>
    <row r="21" spans="1:15" x14ac:dyDescent="0.35">
      <c r="A21" s="11" t="s">
        <v>507</v>
      </c>
      <c r="B21" s="13">
        <v>42</v>
      </c>
      <c r="C21" s="13">
        <v>43</v>
      </c>
      <c r="D21" s="13">
        <v>45</v>
      </c>
      <c r="E21" s="13">
        <v>50</v>
      </c>
      <c r="F21" s="13">
        <v>48</v>
      </c>
      <c r="G21" s="13">
        <v>47</v>
      </c>
      <c r="H21" s="13">
        <v>47</v>
      </c>
      <c r="I21" s="13" t="s">
        <v>502</v>
      </c>
      <c r="J21" s="13"/>
      <c r="K21" s="13"/>
      <c r="L21" s="13"/>
      <c r="M21" s="13"/>
      <c r="N21" s="13"/>
      <c r="O21" s="13"/>
    </row>
    <row r="22" spans="1:15" x14ac:dyDescent="0.35">
      <c r="A22" s="11" t="s">
        <v>506</v>
      </c>
      <c r="B22" s="13">
        <v>47</v>
      </c>
      <c r="C22" s="13">
        <v>49</v>
      </c>
      <c r="D22" s="13">
        <v>57</v>
      </c>
      <c r="E22" s="13">
        <v>53</v>
      </c>
      <c r="F22" s="13">
        <v>50</v>
      </c>
      <c r="G22" s="13">
        <v>50</v>
      </c>
      <c r="H22" s="13">
        <v>52</v>
      </c>
      <c r="I22" s="13" t="s">
        <v>502</v>
      </c>
      <c r="J22" s="13"/>
      <c r="K22" s="13"/>
      <c r="L22" s="13"/>
      <c r="M22" s="13"/>
      <c r="N22" s="13"/>
      <c r="O22" s="13"/>
    </row>
    <row r="23" spans="1:15" x14ac:dyDescent="0.35">
      <c r="A23" s="11" t="s">
        <v>395</v>
      </c>
      <c r="B23" s="13">
        <v>51</v>
      </c>
      <c r="C23" s="13">
        <v>51</v>
      </c>
      <c r="D23" s="13">
        <v>51</v>
      </c>
      <c r="E23" s="13">
        <v>54</v>
      </c>
      <c r="F23" s="13">
        <v>53</v>
      </c>
      <c r="G23" s="13">
        <v>52</v>
      </c>
      <c r="H23" s="13">
        <v>53</v>
      </c>
      <c r="I23" s="13" t="s">
        <v>502</v>
      </c>
      <c r="J23" s="13"/>
      <c r="K23" s="13"/>
      <c r="L23" s="13"/>
      <c r="M23" s="13"/>
      <c r="N23" s="13"/>
      <c r="O23" s="13"/>
    </row>
    <row r="24" spans="1:15" ht="30" customHeight="1" x14ac:dyDescent="0.4">
      <c r="A24" s="5" t="s">
        <v>362</v>
      </c>
      <c r="B24" s="13"/>
      <c r="C24" s="13"/>
      <c r="D24" s="13"/>
      <c r="E24" s="13"/>
      <c r="F24" s="13"/>
      <c r="G24" s="13"/>
      <c r="H24" s="13"/>
      <c r="I24" s="13"/>
      <c r="J24" s="13"/>
      <c r="K24" s="13"/>
      <c r="L24" s="13"/>
      <c r="M24" s="13"/>
      <c r="N24" s="13"/>
      <c r="O24" s="13"/>
    </row>
    <row r="25" spans="1:15" x14ac:dyDescent="0.35">
      <c r="A25" s="11" t="s">
        <v>386</v>
      </c>
      <c r="B25" s="13" t="s">
        <v>387</v>
      </c>
      <c r="C25" s="13" t="s">
        <v>388</v>
      </c>
      <c r="D25" s="13" t="s">
        <v>389</v>
      </c>
      <c r="E25" s="13" t="s">
        <v>390</v>
      </c>
      <c r="F25" s="13" t="s">
        <v>391</v>
      </c>
      <c r="G25" s="13" t="s">
        <v>392</v>
      </c>
      <c r="H25" s="13" t="s">
        <v>393</v>
      </c>
      <c r="I25" s="13" t="s">
        <v>394</v>
      </c>
      <c r="J25" s="13"/>
      <c r="K25" s="13"/>
      <c r="L25" s="13"/>
      <c r="M25" s="13"/>
      <c r="N25" s="13"/>
      <c r="O25" s="13"/>
    </row>
    <row r="26" spans="1:15" x14ac:dyDescent="0.35">
      <c r="A26" s="8" t="s">
        <v>505</v>
      </c>
      <c r="B26" s="12">
        <v>3497</v>
      </c>
      <c r="C26" s="12">
        <v>2426</v>
      </c>
      <c r="D26" s="12">
        <v>1731</v>
      </c>
      <c r="E26" s="12">
        <v>1820</v>
      </c>
      <c r="F26" s="12">
        <v>1599</v>
      </c>
      <c r="G26" s="12">
        <v>1316</v>
      </c>
      <c r="H26" s="12">
        <v>1192</v>
      </c>
      <c r="I26" s="12" t="s">
        <v>502</v>
      </c>
      <c r="J26" s="12"/>
      <c r="K26" s="12"/>
      <c r="L26" s="12"/>
      <c r="M26" s="12"/>
      <c r="N26" s="12"/>
      <c r="O26" s="12"/>
    </row>
    <row r="27" spans="1:15" x14ac:dyDescent="0.35">
      <c r="A27" s="11" t="s">
        <v>507</v>
      </c>
      <c r="B27" s="13">
        <v>638</v>
      </c>
      <c r="C27" s="13">
        <v>500</v>
      </c>
      <c r="D27" s="13">
        <v>978</v>
      </c>
      <c r="E27" s="13">
        <v>985</v>
      </c>
      <c r="F27" s="13">
        <v>910</v>
      </c>
      <c r="G27" s="13">
        <v>915</v>
      </c>
      <c r="H27" s="13">
        <v>872</v>
      </c>
      <c r="I27" s="13" t="s">
        <v>502</v>
      </c>
      <c r="J27" s="13"/>
      <c r="K27" s="13"/>
      <c r="L27" s="13"/>
      <c r="M27" s="13"/>
      <c r="N27" s="13"/>
      <c r="O27" s="13"/>
    </row>
    <row r="28" spans="1:15" x14ac:dyDescent="0.35">
      <c r="A28" s="11" t="s">
        <v>506</v>
      </c>
      <c r="B28" s="13">
        <v>78</v>
      </c>
      <c r="C28" s="13">
        <v>47</v>
      </c>
      <c r="D28" s="13">
        <v>36</v>
      </c>
      <c r="E28" s="13">
        <v>51</v>
      </c>
      <c r="F28" s="13">
        <v>70</v>
      </c>
      <c r="G28" s="13">
        <v>90</v>
      </c>
      <c r="H28" s="13">
        <v>78</v>
      </c>
      <c r="I28" s="13" t="s">
        <v>502</v>
      </c>
      <c r="J28" s="13"/>
      <c r="K28" s="13"/>
      <c r="L28" s="13"/>
      <c r="M28" s="13"/>
      <c r="N28" s="13"/>
      <c r="O28" s="13"/>
    </row>
    <row r="29" spans="1:15" x14ac:dyDescent="0.35">
      <c r="A29" s="11" t="s">
        <v>395</v>
      </c>
      <c r="B29" s="13">
        <v>4213</v>
      </c>
      <c r="C29" s="13">
        <v>2973</v>
      </c>
      <c r="D29" s="13">
        <v>2745</v>
      </c>
      <c r="E29" s="13">
        <v>2856</v>
      </c>
      <c r="F29" s="13">
        <v>2579</v>
      </c>
      <c r="G29" s="13">
        <v>2321</v>
      </c>
      <c r="H29" s="13">
        <v>2142</v>
      </c>
      <c r="I29" s="13" t="s">
        <v>502</v>
      </c>
      <c r="J29" s="13"/>
      <c r="K29" s="13"/>
      <c r="L29" s="13"/>
      <c r="M29" s="13"/>
      <c r="N29" s="13"/>
      <c r="O29" s="13"/>
    </row>
    <row r="30" spans="1:15" x14ac:dyDescent="0.35">
      <c r="A30" s="11"/>
      <c r="B30" s="13"/>
      <c r="C30" s="13"/>
      <c r="D30" s="13"/>
      <c r="E30" s="13"/>
      <c r="F30" s="13"/>
      <c r="G30" s="13"/>
      <c r="H30" s="13"/>
      <c r="I30" s="13"/>
      <c r="J30" s="13"/>
      <c r="K30" s="13"/>
      <c r="L30" s="13"/>
      <c r="M30" s="13"/>
      <c r="N30" s="13"/>
      <c r="O30" s="13"/>
    </row>
    <row r="31" spans="1:15" x14ac:dyDescent="0.35">
      <c r="A31" s="11"/>
      <c r="B31" s="13"/>
      <c r="C31" s="13"/>
      <c r="D31" s="13"/>
      <c r="E31" s="13"/>
      <c r="F31" s="13"/>
      <c r="G31" s="13"/>
      <c r="H31" s="13"/>
      <c r="I31" s="13"/>
      <c r="J31" s="13"/>
      <c r="K31" s="13"/>
      <c r="L31" s="13"/>
      <c r="M31" s="13"/>
      <c r="N31" s="13"/>
      <c r="O31" s="13"/>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369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ht="29" x14ac:dyDescent="0.35">
      <c r="A4" s="8" t="s">
        <v>508</v>
      </c>
      <c r="B4" s="9"/>
      <c r="C4" s="9"/>
      <c r="D4" s="9"/>
      <c r="E4" s="9"/>
      <c r="F4" s="9"/>
      <c r="G4" s="9"/>
      <c r="H4" s="9"/>
      <c r="I4" s="9"/>
      <c r="J4" s="9"/>
      <c r="K4" s="9"/>
      <c r="L4" s="9"/>
      <c r="M4" s="9"/>
      <c r="N4" s="9"/>
      <c r="O4" s="9"/>
    </row>
    <row r="5" spans="1:15" ht="29" x14ac:dyDescent="0.35">
      <c r="A5" s="8" t="s">
        <v>509</v>
      </c>
      <c r="B5" s="9"/>
      <c r="C5" s="9"/>
      <c r="D5" s="9"/>
      <c r="E5" s="9"/>
      <c r="F5" s="9"/>
      <c r="G5" s="9"/>
      <c r="H5" s="9"/>
      <c r="I5" s="9"/>
      <c r="J5" s="9"/>
      <c r="K5" s="9"/>
      <c r="L5" s="9"/>
      <c r="M5" s="9"/>
      <c r="N5" s="9"/>
      <c r="O5" s="9"/>
    </row>
    <row r="6" spans="1:15" x14ac:dyDescent="0.35">
      <c r="A6" s="10" t="s">
        <v>0</v>
      </c>
      <c r="B6" s="9"/>
      <c r="C6" s="9"/>
      <c r="D6" s="9"/>
      <c r="E6" s="9"/>
      <c r="F6" s="9"/>
      <c r="G6" s="9"/>
      <c r="H6" s="9"/>
      <c r="I6" s="9"/>
      <c r="J6" s="9"/>
      <c r="K6" s="9"/>
      <c r="L6" s="9"/>
      <c r="M6" s="9"/>
      <c r="N6" s="9"/>
      <c r="O6" s="9"/>
    </row>
    <row r="7" spans="1:15" ht="30" customHeight="1" x14ac:dyDescent="0.4">
      <c r="A7" s="5" t="s">
        <v>368</v>
      </c>
      <c r="B7" s="9"/>
      <c r="C7" s="9"/>
      <c r="D7" s="9"/>
      <c r="E7" s="9"/>
      <c r="F7" s="9"/>
      <c r="G7" s="9"/>
      <c r="H7" s="9"/>
      <c r="I7" s="9"/>
      <c r="J7" s="9"/>
      <c r="K7" s="9"/>
      <c r="L7" s="9"/>
      <c r="M7" s="9"/>
      <c r="N7" s="9"/>
      <c r="O7" s="9"/>
    </row>
    <row r="8" spans="1:15" x14ac:dyDescent="0.35">
      <c r="A8" s="11" t="s">
        <v>386</v>
      </c>
      <c r="B8" s="9" t="s">
        <v>387</v>
      </c>
      <c r="C8" s="9" t="s">
        <v>388</v>
      </c>
      <c r="D8" s="9" t="s">
        <v>389</v>
      </c>
      <c r="E8" s="9" t="s">
        <v>390</v>
      </c>
      <c r="F8" s="9" t="s">
        <v>391</v>
      </c>
      <c r="G8" s="9" t="s">
        <v>392</v>
      </c>
      <c r="H8" s="9" t="s">
        <v>393</v>
      </c>
      <c r="I8" s="9" t="s">
        <v>394</v>
      </c>
      <c r="J8" s="9"/>
      <c r="K8" s="9"/>
      <c r="L8" s="9"/>
      <c r="M8" s="9"/>
      <c r="N8" s="9"/>
      <c r="O8" s="9"/>
    </row>
    <row r="9" spans="1:15" x14ac:dyDescent="0.35">
      <c r="A9" s="8" t="s">
        <v>510</v>
      </c>
      <c r="B9" s="15">
        <v>0.61</v>
      </c>
      <c r="C9" s="15">
        <v>0.62</v>
      </c>
      <c r="D9" s="15">
        <v>0.64</v>
      </c>
      <c r="E9" s="15">
        <v>0.63</v>
      </c>
      <c r="F9" s="15">
        <v>0.67</v>
      </c>
      <c r="G9" s="15">
        <v>0.72</v>
      </c>
      <c r="H9" s="15">
        <v>0.73</v>
      </c>
      <c r="I9" s="15">
        <v>0.72</v>
      </c>
      <c r="J9" s="15"/>
      <c r="K9" s="15"/>
      <c r="L9" s="15"/>
      <c r="M9" s="15"/>
      <c r="N9" s="15"/>
      <c r="O9" s="15"/>
    </row>
    <row r="10" spans="1:15" x14ac:dyDescent="0.35">
      <c r="A10" s="11" t="s">
        <v>511</v>
      </c>
      <c r="B10" s="16">
        <v>0.39</v>
      </c>
      <c r="C10" s="16">
        <v>0.42</v>
      </c>
      <c r="D10" s="16">
        <v>0.38</v>
      </c>
      <c r="E10" s="16">
        <v>0.45</v>
      </c>
      <c r="F10" s="16">
        <v>0.47</v>
      </c>
      <c r="G10" s="16">
        <v>0.6</v>
      </c>
      <c r="H10" s="16">
        <v>0.66</v>
      </c>
      <c r="I10" s="16">
        <v>0.65</v>
      </c>
      <c r="J10" s="16"/>
      <c r="K10" s="16"/>
      <c r="L10" s="16"/>
      <c r="M10" s="16"/>
      <c r="N10" s="16"/>
      <c r="O10" s="16"/>
    </row>
    <row r="11" spans="1:15" x14ac:dyDescent="0.35">
      <c r="A11" s="11" t="s">
        <v>395</v>
      </c>
      <c r="B11" s="16">
        <v>0.59</v>
      </c>
      <c r="C11" s="16">
        <v>0.61</v>
      </c>
      <c r="D11" s="16">
        <v>0.63</v>
      </c>
      <c r="E11" s="16">
        <v>0.62</v>
      </c>
      <c r="F11" s="16">
        <v>0.65</v>
      </c>
      <c r="G11" s="16">
        <v>0.71</v>
      </c>
      <c r="H11" s="16">
        <v>0.73</v>
      </c>
      <c r="I11" s="16">
        <v>0.71</v>
      </c>
      <c r="J11" s="16"/>
      <c r="K11" s="16"/>
      <c r="L11" s="16"/>
      <c r="M11" s="16"/>
      <c r="N11" s="16"/>
      <c r="O11" s="16"/>
    </row>
    <row r="12" spans="1:15" ht="30" customHeight="1" x14ac:dyDescent="0.4">
      <c r="A12" s="5" t="s">
        <v>365</v>
      </c>
      <c r="B12" s="16"/>
      <c r="C12" s="16"/>
      <c r="D12" s="16"/>
      <c r="E12" s="16"/>
      <c r="F12" s="16"/>
      <c r="G12" s="16"/>
      <c r="H12" s="16"/>
      <c r="I12" s="16"/>
      <c r="J12" s="16"/>
      <c r="K12" s="16"/>
      <c r="L12" s="16"/>
      <c r="M12" s="16"/>
      <c r="N12" s="16"/>
      <c r="O12" s="16"/>
    </row>
    <row r="13" spans="1:15" x14ac:dyDescent="0.35">
      <c r="A13" s="11" t="s">
        <v>386</v>
      </c>
      <c r="B13" s="16" t="s">
        <v>387</v>
      </c>
      <c r="C13" s="16" t="s">
        <v>388</v>
      </c>
      <c r="D13" s="16" t="s">
        <v>389</v>
      </c>
      <c r="E13" s="16" t="s">
        <v>390</v>
      </c>
      <c r="F13" s="16" t="s">
        <v>391</v>
      </c>
      <c r="G13" s="16" t="s">
        <v>392</v>
      </c>
      <c r="H13" s="16" t="s">
        <v>393</v>
      </c>
      <c r="I13" s="16" t="s">
        <v>394</v>
      </c>
      <c r="J13" s="16"/>
      <c r="K13" s="16"/>
      <c r="L13" s="16"/>
      <c r="M13" s="16"/>
      <c r="N13" s="16"/>
      <c r="O13" s="16"/>
    </row>
    <row r="14" spans="1:15" x14ac:dyDescent="0.35">
      <c r="A14" s="8" t="s">
        <v>510</v>
      </c>
      <c r="B14" s="15">
        <v>0.95</v>
      </c>
      <c r="C14" s="15">
        <v>0.96</v>
      </c>
      <c r="D14" s="15">
        <v>0.96</v>
      </c>
      <c r="E14" s="15">
        <v>0.96</v>
      </c>
      <c r="F14" s="15">
        <v>0.94</v>
      </c>
      <c r="G14" s="15">
        <v>0.94</v>
      </c>
      <c r="H14" s="15">
        <v>0.93</v>
      </c>
      <c r="I14" s="15">
        <v>0.9</v>
      </c>
      <c r="J14" s="15"/>
      <c r="K14" s="15"/>
      <c r="L14" s="15"/>
      <c r="M14" s="15"/>
      <c r="N14" s="15"/>
      <c r="O14" s="15"/>
    </row>
    <row r="15" spans="1:15" x14ac:dyDescent="0.35">
      <c r="A15" s="11" t="s">
        <v>511</v>
      </c>
      <c r="B15" s="16">
        <v>0.05</v>
      </c>
      <c r="C15" s="16">
        <v>0.04</v>
      </c>
      <c r="D15" s="16">
        <v>0.04</v>
      </c>
      <c r="E15" s="16">
        <v>0.04</v>
      </c>
      <c r="F15" s="16">
        <v>0.06</v>
      </c>
      <c r="G15" s="16">
        <v>0.06</v>
      </c>
      <c r="H15" s="16">
        <v>7.0000000000000007E-2</v>
      </c>
      <c r="I15" s="16">
        <v>0.1</v>
      </c>
      <c r="J15" s="16"/>
      <c r="K15" s="16"/>
      <c r="L15" s="16"/>
      <c r="M15" s="16"/>
      <c r="N15" s="16"/>
      <c r="O15" s="16"/>
    </row>
    <row r="16" spans="1:15" x14ac:dyDescent="0.35">
      <c r="A16" s="11" t="s">
        <v>395</v>
      </c>
      <c r="B16" s="16">
        <v>1</v>
      </c>
      <c r="C16" s="16">
        <v>1</v>
      </c>
      <c r="D16" s="16">
        <v>1</v>
      </c>
      <c r="E16" s="16">
        <v>1</v>
      </c>
      <c r="F16" s="16">
        <v>1</v>
      </c>
      <c r="G16" s="16">
        <v>1</v>
      </c>
      <c r="H16" s="16">
        <v>1</v>
      </c>
      <c r="I16" s="16">
        <v>1</v>
      </c>
      <c r="J16" s="16"/>
      <c r="K16" s="16"/>
      <c r="L16" s="16"/>
      <c r="M16" s="16"/>
      <c r="N16" s="16"/>
      <c r="O16" s="16"/>
    </row>
    <row r="17" spans="1:15" ht="30" customHeight="1" x14ac:dyDescent="0.4">
      <c r="A17" s="5" t="s">
        <v>366</v>
      </c>
      <c r="B17" s="16"/>
      <c r="C17" s="16"/>
      <c r="D17" s="16"/>
      <c r="E17" s="16"/>
      <c r="F17" s="16"/>
      <c r="G17" s="16"/>
      <c r="H17" s="16"/>
      <c r="I17" s="16"/>
      <c r="J17" s="16"/>
      <c r="K17" s="16"/>
      <c r="L17" s="16"/>
      <c r="M17" s="16"/>
      <c r="N17" s="16"/>
      <c r="O17" s="16"/>
    </row>
    <row r="18" spans="1:15" x14ac:dyDescent="0.35">
      <c r="A18" s="11" t="s">
        <v>386</v>
      </c>
      <c r="B18" s="16" t="s">
        <v>387</v>
      </c>
      <c r="C18" s="16" t="s">
        <v>388</v>
      </c>
      <c r="D18" s="16" t="s">
        <v>389</v>
      </c>
      <c r="E18" s="16" t="s">
        <v>390</v>
      </c>
      <c r="F18" s="16" t="s">
        <v>391</v>
      </c>
      <c r="G18" s="16" t="s">
        <v>392</v>
      </c>
      <c r="H18" s="16" t="s">
        <v>393</v>
      </c>
      <c r="I18" s="16" t="s">
        <v>394</v>
      </c>
      <c r="J18" s="16"/>
      <c r="K18" s="16"/>
      <c r="L18" s="16"/>
      <c r="M18" s="16"/>
      <c r="N18" s="16"/>
      <c r="O18" s="16"/>
    </row>
    <row r="19" spans="1:15" x14ac:dyDescent="0.35">
      <c r="A19" s="8" t="s">
        <v>510</v>
      </c>
      <c r="B19" s="12">
        <v>51</v>
      </c>
      <c r="C19" s="12">
        <v>52</v>
      </c>
      <c r="D19" s="12">
        <v>52</v>
      </c>
      <c r="E19" s="12">
        <v>55</v>
      </c>
      <c r="F19" s="12">
        <v>54</v>
      </c>
      <c r="G19" s="12">
        <v>53</v>
      </c>
      <c r="H19" s="12">
        <v>54</v>
      </c>
      <c r="I19" s="12">
        <v>55</v>
      </c>
      <c r="J19" s="12"/>
      <c r="K19" s="12"/>
      <c r="L19" s="12"/>
      <c r="M19" s="12"/>
      <c r="N19" s="12"/>
      <c r="O19" s="12"/>
    </row>
    <row r="20" spans="1:15" x14ac:dyDescent="0.35">
      <c r="A20" s="11" t="s">
        <v>511</v>
      </c>
      <c r="B20" s="13">
        <v>44</v>
      </c>
      <c r="C20" s="13">
        <v>44</v>
      </c>
      <c r="D20" s="13">
        <v>38</v>
      </c>
      <c r="E20" s="13">
        <v>38</v>
      </c>
      <c r="F20" s="13">
        <v>40</v>
      </c>
      <c r="G20" s="13">
        <v>36</v>
      </c>
      <c r="H20" s="13">
        <v>40</v>
      </c>
      <c r="I20" s="13">
        <v>39</v>
      </c>
      <c r="J20" s="13"/>
      <c r="K20" s="13"/>
      <c r="L20" s="13"/>
      <c r="M20" s="13"/>
      <c r="N20" s="13"/>
      <c r="O20" s="13"/>
    </row>
    <row r="21" spans="1:15" x14ac:dyDescent="0.35">
      <c r="A21" s="11" t="s">
        <v>395</v>
      </c>
      <c r="B21" s="13">
        <v>51</v>
      </c>
      <c r="C21" s="13">
        <v>51</v>
      </c>
      <c r="D21" s="13">
        <v>52</v>
      </c>
      <c r="E21" s="13">
        <v>54</v>
      </c>
      <c r="F21" s="13">
        <v>53</v>
      </c>
      <c r="G21" s="13">
        <v>52</v>
      </c>
      <c r="H21" s="13">
        <v>53</v>
      </c>
      <c r="I21" s="13">
        <v>54</v>
      </c>
      <c r="J21" s="13"/>
      <c r="K21" s="13"/>
      <c r="L21" s="13"/>
      <c r="M21" s="13"/>
      <c r="N21" s="13"/>
      <c r="O21" s="13"/>
    </row>
    <row r="22" spans="1:15" ht="30" customHeight="1" x14ac:dyDescent="0.4">
      <c r="A22" s="5" t="s">
        <v>367</v>
      </c>
      <c r="B22" s="13"/>
      <c r="C22" s="13"/>
      <c r="D22" s="13"/>
      <c r="E22" s="13"/>
      <c r="F22" s="13"/>
      <c r="G22" s="13"/>
      <c r="H22" s="13"/>
      <c r="I22" s="13"/>
      <c r="J22" s="13"/>
      <c r="K22" s="13"/>
      <c r="L22" s="13"/>
      <c r="M22" s="13"/>
      <c r="N22" s="13"/>
      <c r="O22" s="13"/>
    </row>
    <row r="23" spans="1:15" x14ac:dyDescent="0.35">
      <c r="A23" s="11" t="s">
        <v>386</v>
      </c>
      <c r="B23" s="13" t="s">
        <v>387</v>
      </c>
      <c r="C23" s="13" t="s">
        <v>388</v>
      </c>
      <c r="D23" s="13" t="s">
        <v>389</v>
      </c>
      <c r="E23" s="13" t="s">
        <v>390</v>
      </c>
      <c r="F23" s="13" t="s">
        <v>391</v>
      </c>
      <c r="G23" s="13" t="s">
        <v>392</v>
      </c>
      <c r="H23" s="13" t="s">
        <v>393</v>
      </c>
      <c r="I23" s="13" t="s">
        <v>394</v>
      </c>
      <c r="J23" s="13"/>
      <c r="K23" s="13"/>
      <c r="L23" s="13"/>
      <c r="M23" s="13"/>
      <c r="N23" s="13"/>
      <c r="O23" s="13"/>
    </row>
    <row r="24" spans="1:15" x14ac:dyDescent="0.35">
      <c r="A24" s="8" t="s">
        <v>510</v>
      </c>
      <c r="B24" s="12">
        <v>3932</v>
      </c>
      <c r="C24" s="12">
        <v>2836</v>
      </c>
      <c r="D24" s="12">
        <v>2993</v>
      </c>
      <c r="E24" s="12">
        <v>2742</v>
      </c>
      <c r="F24" s="12">
        <v>2456</v>
      </c>
      <c r="G24" s="12">
        <v>2205</v>
      </c>
      <c r="H24" s="12">
        <v>2032</v>
      </c>
      <c r="I24" s="12">
        <v>1543</v>
      </c>
      <c r="J24" s="12"/>
      <c r="K24" s="12"/>
      <c r="L24" s="12"/>
      <c r="M24" s="12"/>
      <c r="N24" s="12"/>
      <c r="O24" s="12"/>
    </row>
    <row r="25" spans="1:15" x14ac:dyDescent="0.35">
      <c r="A25" s="11" t="s">
        <v>511</v>
      </c>
      <c r="B25" s="13">
        <v>284</v>
      </c>
      <c r="C25" s="13">
        <v>137</v>
      </c>
      <c r="D25" s="13">
        <v>145</v>
      </c>
      <c r="E25" s="13">
        <v>115</v>
      </c>
      <c r="F25" s="13">
        <v>123</v>
      </c>
      <c r="G25" s="13">
        <v>117</v>
      </c>
      <c r="H25" s="13">
        <v>110</v>
      </c>
      <c r="I25" s="13">
        <v>109</v>
      </c>
      <c r="J25" s="13"/>
      <c r="K25" s="13"/>
      <c r="L25" s="13"/>
      <c r="M25" s="13"/>
      <c r="N25" s="13"/>
      <c r="O25" s="13"/>
    </row>
    <row r="26" spans="1:15" x14ac:dyDescent="0.35">
      <c r="A26" s="11" t="s">
        <v>395</v>
      </c>
      <c r="B26" s="13">
        <v>4216</v>
      </c>
      <c r="C26" s="13">
        <v>2973</v>
      </c>
      <c r="D26" s="13">
        <v>3138</v>
      </c>
      <c r="E26" s="13">
        <v>2857</v>
      </c>
      <c r="F26" s="13">
        <v>2579</v>
      </c>
      <c r="G26" s="13">
        <v>2322</v>
      </c>
      <c r="H26" s="13">
        <v>2142</v>
      </c>
      <c r="I26" s="13">
        <v>1652</v>
      </c>
      <c r="J26" s="13"/>
      <c r="K26" s="13"/>
      <c r="L26" s="13"/>
      <c r="M26" s="13"/>
      <c r="N26" s="13"/>
      <c r="O26" s="13"/>
    </row>
    <row r="27" spans="1:15" x14ac:dyDescent="0.35">
      <c r="A27" s="11"/>
      <c r="B27" s="13"/>
      <c r="C27" s="13"/>
      <c r="D27" s="13"/>
      <c r="E27" s="13"/>
      <c r="F27" s="13"/>
      <c r="G27" s="13"/>
      <c r="H27" s="13"/>
      <c r="I27" s="13"/>
      <c r="J27" s="13"/>
      <c r="K27" s="13"/>
      <c r="L27" s="13"/>
      <c r="M27" s="13"/>
      <c r="N27" s="13"/>
      <c r="O27" s="13"/>
    </row>
    <row r="28" spans="1:15" x14ac:dyDescent="0.35">
      <c r="A28" s="11"/>
      <c r="B28" s="13"/>
      <c r="C28" s="13"/>
      <c r="D28" s="13"/>
      <c r="E28" s="13"/>
      <c r="F28" s="13"/>
      <c r="G28" s="13"/>
      <c r="H28" s="13"/>
      <c r="I28" s="13"/>
      <c r="J28" s="13"/>
      <c r="K28" s="13"/>
      <c r="L28" s="13"/>
      <c r="M28" s="13"/>
      <c r="N28" s="13"/>
      <c r="O28" s="13"/>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374</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373</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513</v>
      </c>
      <c r="B7" s="15">
        <v>0.59</v>
      </c>
      <c r="C7" s="15">
        <v>0.61</v>
      </c>
      <c r="D7" s="15">
        <v>0.61</v>
      </c>
      <c r="E7" s="15">
        <v>0.6</v>
      </c>
      <c r="F7" s="15">
        <v>0.66</v>
      </c>
      <c r="G7" s="15">
        <v>0.7</v>
      </c>
      <c r="H7" s="15">
        <v>0.72</v>
      </c>
      <c r="I7" s="15" t="s">
        <v>502</v>
      </c>
      <c r="J7" s="15"/>
      <c r="K7" s="15"/>
      <c r="L7" s="15"/>
      <c r="M7" s="15"/>
      <c r="N7" s="15"/>
      <c r="O7" s="15"/>
    </row>
    <row r="8" spans="1:15" x14ac:dyDescent="0.35">
      <c r="A8" s="11" t="s">
        <v>512</v>
      </c>
      <c r="B8" s="16">
        <v>0.5</v>
      </c>
      <c r="C8" s="16">
        <v>0.51</v>
      </c>
      <c r="D8" s="16">
        <v>0.51</v>
      </c>
      <c r="E8" s="16">
        <v>0.52</v>
      </c>
      <c r="F8" s="16">
        <v>0.52</v>
      </c>
      <c r="G8" s="16">
        <v>0.57999999999999996</v>
      </c>
      <c r="H8" s="16">
        <v>0.56000000000000005</v>
      </c>
      <c r="I8" s="16" t="s">
        <v>502</v>
      </c>
      <c r="J8" s="16"/>
      <c r="K8" s="16"/>
      <c r="L8" s="16"/>
      <c r="M8" s="16"/>
      <c r="N8" s="16"/>
      <c r="O8" s="16"/>
    </row>
    <row r="9" spans="1:15" x14ac:dyDescent="0.35">
      <c r="A9" s="11" t="s">
        <v>395</v>
      </c>
      <c r="B9" s="16">
        <v>0.56999999999999995</v>
      </c>
      <c r="C9" s="16">
        <v>0.59</v>
      </c>
      <c r="D9" s="16">
        <v>0.59</v>
      </c>
      <c r="E9" s="16">
        <v>0.59</v>
      </c>
      <c r="F9" s="16">
        <v>0.63</v>
      </c>
      <c r="G9" s="16">
        <v>0.67</v>
      </c>
      <c r="H9" s="16">
        <v>0.69</v>
      </c>
      <c r="I9" s="16" t="s">
        <v>502</v>
      </c>
      <c r="J9" s="16"/>
      <c r="K9" s="16"/>
      <c r="L9" s="16"/>
      <c r="M9" s="16"/>
      <c r="N9" s="16"/>
      <c r="O9" s="16"/>
    </row>
    <row r="10" spans="1:15" ht="30" customHeight="1" x14ac:dyDescent="0.4">
      <c r="A10" s="5" t="s">
        <v>370</v>
      </c>
      <c r="B10" s="16"/>
      <c r="C10" s="16"/>
      <c r="D10" s="16"/>
      <c r="E10" s="16"/>
      <c r="F10" s="16"/>
      <c r="G10" s="16"/>
      <c r="H10" s="16"/>
      <c r="I10" s="16"/>
      <c r="J10" s="16"/>
      <c r="K10" s="16"/>
      <c r="L10" s="16"/>
      <c r="M10" s="16"/>
      <c r="N10" s="16"/>
      <c r="O10" s="16"/>
    </row>
    <row r="11" spans="1:15" x14ac:dyDescent="0.35">
      <c r="A11" s="11" t="s">
        <v>386</v>
      </c>
      <c r="B11" s="16" t="s">
        <v>387</v>
      </c>
      <c r="C11" s="16" t="s">
        <v>388</v>
      </c>
      <c r="D11" s="16" t="s">
        <v>389</v>
      </c>
      <c r="E11" s="16" t="s">
        <v>390</v>
      </c>
      <c r="F11" s="16" t="s">
        <v>391</v>
      </c>
      <c r="G11" s="16" t="s">
        <v>392</v>
      </c>
      <c r="H11" s="16" t="s">
        <v>393</v>
      </c>
      <c r="I11" s="16" t="s">
        <v>394</v>
      </c>
      <c r="J11" s="16"/>
      <c r="K11" s="16"/>
      <c r="L11" s="16"/>
      <c r="M11" s="16"/>
      <c r="N11" s="16"/>
      <c r="O11" s="16"/>
    </row>
    <row r="12" spans="1:15" x14ac:dyDescent="0.35">
      <c r="A12" s="8" t="s">
        <v>513</v>
      </c>
      <c r="B12" s="15">
        <v>0.83</v>
      </c>
      <c r="C12" s="15">
        <v>0.84</v>
      </c>
      <c r="D12" s="15">
        <v>0.84</v>
      </c>
      <c r="E12" s="15">
        <v>0.83</v>
      </c>
      <c r="F12" s="15">
        <v>0.83</v>
      </c>
      <c r="G12" s="15">
        <v>0.82</v>
      </c>
      <c r="H12" s="15">
        <v>0.82</v>
      </c>
      <c r="I12" s="15" t="s">
        <v>502</v>
      </c>
      <c r="J12" s="15"/>
      <c r="K12" s="15"/>
      <c r="L12" s="15"/>
      <c r="M12" s="15"/>
      <c r="N12" s="15"/>
      <c r="O12" s="15"/>
    </row>
    <row r="13" spans="1:15" x14ac:dyDescent="0.35">
      <c r="A13" s="11" t="s">
        <v>512</v>
      </c>
      <c r="B13" s="16">
        <v>0.17</v>
      </c>
      <c r="C13" s="16">
        <v>0.16</v>
      </c>
      <c r="D13" s="16">
        <v>0.16</v>
      </c>
      <c r="E13" s="16">
        <v>0.17</v>
      </c>
      <c r="F13" s="16">
        <v>0.17</v>
      </c>
      <c r="G13" s="16">
        <v>0.18</v>
      </c>
      <c r="H13" s="16">
        <v>0.18</v>
      </c>
      <c r="I13" s="16" t="s">
        <v>502</v>
      </c>
      <c r="J13" s="16"/>
      <c r="K13" s="16"/>
      <c r="L13" s="16"/>
      <c r="M13" s="16"/>
      <c r="N13" s="16"/>
      <c r="O13" s="16"/>
    </row>
    <row r="14" spans="1:15" x14ac:dyDescent="0.35">
      <c r="A14" s="11" t="s">
        <v>395</v>
      </c>
      <c r="B14" s="16">
        <v>1</v>
      </c>
      <c r="C14" s="16">
        <v>1</v>
      </c>
      <c r="D14" s="16">
        <v>1</v>
      </c>
      <c r="E14" s="16">
        <v>1</v>
      </c>
      <c r="F14" s="16">
        <v>1</v>
      </c>
      <c r="G14" s="16">
        <v>1</v>
      </c>
      <c r="H14" s="16">
        <v>1</v>
      </c>
      <c r="I14" s="16" t="s">
        <v>502</v>
      </c>
      <c r="J14" s="16"/>
      <c r="K14" s="16"/>
      <c r="L14" s="16"/>
      <c r="M14" s="16"/>
      <c r="N14" s="16"/>
      <c r="O14" s="16"/>
    </row>
    <row r="15" spans="1:15" ht="30" customHeight="1" x14ac:dyDescent="0.4">
      <c r="A15" s="5" t="s">
        <v>371</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513</v>
      </c>
      <c r="B17" s="12">
        <v>47</v>
      </c>
      <c r="C17" s="12">
        <v>48</v>
      </c>
      <c r="D17" s="12">
        <v>48</v>
      </c>
      <c r="E17" s="12">
        <v>51</v>
      </c>
      <c r="F17" s="12">
        <v>50</v>
      </c>
      <c r="G17" s="12">
        <v>48</v>
      </c>
      <c r="H17" s="12">
        <v>48</v>
      </c>
      <c r="I17" s="12" t="s">
        <v>502</v>
      </c>
      <c r="J17" s="12"/>
      <c r="K17" s="12"/>
      <c r="L17" s="12"/>
      <c r="M17" s="12"/>
      <c r="N17" s="12"/>
      <c r="O17" s="12"/>
    </row>
    <row r="18" spans="1:15" x14ac:dyDescent="0.35">
      <c r="A18" s="11" t="s">
        <v>512</v>
      </c>
      <c r="B18" s="13">
        <v>64</v>
      </c>
      <c r="C18" s="13">
        <v>63</v>
      </c>
      <c r="D18" s="13">
        <v>63</v>
      </c>
      <c r="E18" s="13">
        <v>66</v>
      </c>
      <c r="F18" s="13">
        <v>65</v>
      </c>
      <c r="G18" s="13">
        <v>63</v>
      </c>
      <c r="H18" s="13">
        <v>62</v>
      </c>
      <c r="I18" s="13" t="s">
        <v>502</v>
      </c>
      <c r="J18" s="13"/>
      <c r="K18" s="13"/>
      <c r="L18" s="13"/>
      <c r="M18" s="13"/>
      <c r="N18" s="13"/>
      <c r="O18" s="13"/>
    </row>
    <row r="19" spans="1:15" x14ac:dyDescent="0.35">
      <c r="A19" s="11" t="s">
        <v>395</v>
      </c>
      <c r="B19" s="13">
        <v>50</v>
      </c>
      <c r="C19" s="13">
        <v>50</v>
      </c>
      <c r="D19" s="13">
        <v>51</v>
      </c>
      <c r="E19" s="13">
        <v>53</v>
      </c>
      <c r="F19" s="13">
        <v>52</v>
      </c>
      <c r="G19" s="13">
        <v>50</v>
      </c>
      <c r="H19" s="13">
        <v>51</v>
      </c>
      <c r="I19" s="13" t="s">
        <v>502</v>
      </c>
      <c r="J19" s="13"/>
      <c r="K19" s="13"/>
      <c r="L19" s="13"/>
      <c r="M19" s="13"/>
      <c r="N19" s="13"/>
      <c r="O19" s="13"/>
    </row>
    <row r="20" spans="1:15" ht="30" customHeight="1" x14ac:dyDescent="0.4">
      <c r="A20" s="5" t="s">
        <v>372</v>
      </c>
      <c r="B20" s="13"/>
      <c r="C20" s="13"/>
      <c r="D20" s="13"/>
      <c r="E20" s="13"/>
      <c r="F20" s="13"/>
      <c r="G20" s="13"/>
      <c r="H20" s="13"/>
      <c r="I20" s="13"/>
      <c r="J20" s="13"/>
      <c r="K20" s="13"/>
      <c r="L20" s="13"/>
      <c r="M20" s="13"/>
      <c r="N20" s="13"/>
      <c r="O20" s="13"/>
    </row>
    <row r="21" spans="1:15" x14ac:dyDescent="0.35">
      <c r="A21" s="11" t="s">
        <v>386</v>
      </c>
      <c r="B21" s="13" t="s">
        <v>387</v>
      </c>
      <c r="C21" s="13" t="s">
        <v>388</v>
      </c>
      <c r="D21" s="13" t="s">
        <v>389</v>
      </c>
      <c r="E21" s="13" t="s">
        <v>390</v>
      </c>
      <c r="F21" s="13" t="s">
        <v>391</v>
      </c>
      <c r="G21" s="13" t="s">
        <v>392</v>
      </c>
      <c r="H21" s="13" t="s">
        <v>393</v>
      </c>
      <c r="I21" s="13" t="s">
        <v>394</v>
      </c>
      <c r="J21" s="13"/>
      <c r="K21" s="13"/>
      <c r="L21" s="13"/>
      <c r="M21" s="13"/>
      <c r="N21" s="13"/>
      <c r="O21" s="13"/>
    </row>
    <row r="22" spans="1:15" x14ac:dyDescent="0.35">
      <c r="A22" s="8" t="s">
        <v>513</v>
      </c>
      <c r="B22" s="12">
        <v>3957</v>
      </c>
      <c r="C22" s="12">
        <v>2794</v>
      </c>
      <c r="D22" s="12">
        <v>2987</v>
      </c>
      <c r="E22" s="12">
        <v>2640</v>
      </c>
      <c r="F22" s="12">
        <v>2382</v>
      </c>
      <c r="G22" s="12">
        <v>2227</v>
      </c>
      <c r="H22" s="12">
        <v>2054</v>
      </c>
      <c r="I22" s="12" t="s">
        <v>502</v>
      </c>
      <c r="J22" s="12"/>
      <c r="K22" s="12"/>
      <c r="L22" s="12"/>
      <c r="M22" s="12"/>
      <c r="N22" s="12"/>
      <c r="O22" s="12"/>
    </row>
    <row r="23" spans="1:15" x14ac:dyDescent="0.35">
      <c r="A23" s="11" t="s">
        <v>512</v>
      </c>
      <c r="B23" s="13">
        <v>977</v>
      </c>
      <c r="C23" s="13">
        <v>695</v>
      </c>
      <c r="D23" s="13">
        <v>721</v>
      </c>
      <c r="E23" s="13">
        <v>707</v>
      </c>
      <c r="F23" s="13">
        <v>633</v>
      </c>
      <c r="G23" s="13">
        <v>650</v>
      </c>
      <c r="H23" s="13">
        <v>605</v>
      </c>
      <c r="I23" s="13" t="s">
        <v>502</v>
      </c>
      <c r="J23" s="13"/>
      <c r="K23" s="13"/>
      <c r="L23" s="13"/>
      <c r="M23" s="13"/>
      <c r="N23" s="13"/>
      <c r="O23" s="13"/>
    </row>
    <row r="24" spans="1:15" x14ac:dyDescent="0.35">
      <c r="A24" s="11" t="s">
        <v>395</v>
      </c>
      <c r="B24" s="13">
        <v>4934</v>
      </c>
      <c r="C24" s="13">
        <v>3489</v>
      </c>
      <c r="D24" s="13">
        <v>3708</v>
      </c>
      <c r="E24" s="13">
        <v>3347</v>
      </c>
      <c r="F24" s="13">
        <v>3015</v>
      </c>
      <c r="G24" s="13">
        <v>2877</v>
      </c>
      <c r="H24" s="13">
        <v>2659</v>
      </c>
      <c r="I24" s="13" t="s">
        <v>502</v>
      </c>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O200"/>
  <sheetViews>
    <sheetView showGridLines="0" workbookViewId="0"/>
  </sheetViews>
  <sheetFormatPr defaultColWidth="10.90625" defaultRowHeight="14.5" x14ac:dyDescent="0.35"/>
  <cols>
    <col min="1" max="1" width="70.7265625" customWidth="1"/>
  </cols>
  <sheetData>
    <row r="1" spans="1:15" ht="19.5" x14ac:dyDescent="0.45">
      <c r="A1" s="4" t="s">
        <v>379</v>
      </c>
      <c r="B1" s="7"/>
      <c r="C1" s="7"/>
      <c r="D1" s="7"/>
      <c r="E1" s="7"/>
      <c r="F1" s="7"/>
      <c r="G1" s="7"/>
      <c r="H1" s="7"/>
      <c r="I1" s="7"/>
      <c r="J1" s="7"/>
      <c r="K1" s="7"/>
      <c r="L1" s="7"/>
      <c r="M1" s="7"/>
      <c r="N1" s="7"/>
      <c r="O1" s="7"/>
    </row>
    <row r="2" spans="1:15" ht="15.5" x14ac:dyDescent="0.35">
      <c r="A2" s="14" t="str">
        <f>HYPERLINK("#Contents!A1", "Table of contents")</f>
        <v>Table of contents</v>
      </c>
      <c r="B2" s="7"/>
      <c r="C2" s="7"/>
      <c r="D2" s="7"/>
      <c r="E2" s="7"/>
      <c r="F2" s="7"/>
      <c r="G2" s="7"/>
      <c r="H2" s="7"/>
      <c r="I2" s="7"/>
      <c r="J2" s="7"/>
      <c r="K2" s="7"/>
      <c r="L2" s="7"/>
      <c r="M2" s="7"/>
      <c r="N2" s="7"/>
      <c r="O2" s="7"/>
    </row>
    <row r="3" spans="1:15" ht="58" x14ac:dyDescent="0.35">
      <c r="A3" s="8" t="s">
        <v>572</v>
      </c>
      <c r="B3" s="9"/>
      <c r="C3" s="9"/>
      <c r="D3" s="9"/>
      <c r="E3" s="9"/>
      <c r="F3" s="9"/>
      <c r="G3" s="9"/>
      <c r="H3" s="9"/>
      <c r="I3" s="9"/>
      <c r="J3" s="9"/>
      <c r="K3" s="9"/>
      <c r="L3" s="9"/>
      <c r="M3" s="9"/>
      <c r="N3" s="9"/>
      <c r="O3" s="9"/>
    </row>
    <row r="4" spans="1:15" x14ac:dyDescent="0.35">
      <c r="A4" s="10" t="s">
        <v>0</v>
      </c>
      <c r="B4" s="9"/>
      <c r="C4" s="9"/>
      <c r="D4" s="9"/>
      <c r="E4" s="9"/>
      <c r="F4" s="9"/>
      <c r="G4" s="9"/>
      <c r="H4" s="9"/>
      <c r="I4" s="9"/>
      <c r="J4" s="9"/>
      <c r="K4" s="9"/>
      <c r="L4" s="9"/>
      <c r="M4" s="9"/>
      <c r="N4" s="9"/>
      <c r="O4" s="9"/>
    </row>
    <row r="5" spans="1:15" ht="30" customHeight="1" x14ac:dyDescent="0.4">
      <c r="A5" s="5" t="s">
        <v>378</v>
      </c>
      <c r="B5" s="9"/>
      <c r="C5" s="9"/>
      <c r="D5" s="9"/>
      <c r="E5" s="9"/>
      <c r="F5" s="9"/>
      <c r="G5" s="9"/>
      <c r="H5" s="9"/>
      <c r="I5" s="9"/>
      <c r="J5" s="9"/>
      <c r="K5" s="9"/>
      <c r="L5" s="9"/>
      <c r="M5" s="9"/>
      <c r="N5" s="9"/>
      <c r="O5" s="9"/>
    </row>
    <row r="6" spans="1:15" x14ac:dyDescent="0.35">
      <c r="A6" s="11" t="s">
        <v>386</v>
      </c>
      <c r="B6" s="9" t="s">
        <v>387</v>
      </c>
      <c r="C6" s="9" t="s">
        <v>388</v>
      </c>
      <c r="D6" s="9" t="s">
        <v>389</v>
      </c>
      <c r="E6" s="9" t="s">
        <v>390</v>
      </c>
      <c r="F6" s="9" t="s">
        <v>391</v>
      </c>
      <c r="G6" s="9" t="s">
        <v>392</v>
      </c>
      <c r="H6" s="9" t="s">
        <v>393</v>
      </c>
      <c r="I6" s="9" t="s">
        <v>394</v>
      </c>
      <c r="J6" s="9"/>
      <c r="K6" s="9"/>
      <c r="L6" s="9"/>
      <c r="M6" s="9"/>
      <c r="N6" s="9"/>
      <c r="O6" s="9"/>
    </row>
    <row r="7" spans="1:15" x14ac:dyDescent="0.35">
      <c r="A7" s="8" t="s">
        <v>514</v>
      </c>
      <c r="B7" s="15">
        <v>0.63</v>
      </c>
      <c r="C7" s="15">
        <v>0.64</v>
      </c>
      <c r="D7" s="15">
        <v>0.63</v>
      </c>
      <c r="E7" s="15">
        <v>0.63</v>
      </c>
      <c r="F7" s="15">
        <v>0.68</v>
      </c>
      <c r="G7" s="15">
        <v>0.7</v>
      </c>
      <c r="H7" s="15">
        <v>0.71</v>
      </c>
      <c r="I7" s="15">
        <v>0.75</v>
      </c>
      <c r="J7" s="15"/>
      <c r="K7" s="15"/>
      <c r="L7" s="15"/>
      <c r="M7" s="15"/>
      <c r="N7" s="15"/>
      <c r="O7" s="15"/>
    </row>
    <row r="8" spans="1:15" x14ac:dyDescent="0.35">
      <c r="A8" s="11" t="s">
        <v>515</v>
      </c>
      <c r="B8" s="16">
        <v>0.51</v>
      </c>
      <c r="C8" s="16">
        <v>0.55000000000000004</v>
      </c>
      <c r="D8" s="16">
        <v>0.55000000000000004</v>
      </c>
      <c r="E8" s="16">
        <v>0.54</v>
      </c>
      <c r="F8" s="16">
        <v>0.59</v>
      </c>
      <c r="G8" s="16">
        <v>0.65</v>
      </c>
      <c r="H8" s="16">
        <v>0.66</v>
      </c>
      <c r="I8" s="16">
        <v>0.61</v>
      </c>
      <c r="J8" s="16"/>
      <c r="K8" s="16"/>
      <c r="L8" s="16"/>
      <c r="M8" s="16"/>
      <c r="N8" s="16"/>
      <c r="O8" s="16"/>
    </row>
    <row r="9" spans="1:15" x14ac:dyDescent="0.35">
      <c r="A9" s="11" t="s">
        <v>395</v>
      </c>
      <c r="B9" s="16">
        <v>0.56999999999999995</v>
      </c>
      <c r="C9" s="16">
        <v>0.59</v>
      </c>
      <c r="D9" s="16">
        <v>0.59</v>
      </c>
      <c r="E9" s="16">
        <v>0.59</v>
      </c>
      <c r="F9" s="16">
        <v>0.63</v>
      </c>
      <c r="G9" s="16">
        <v>0.67</v>
      </c>
      <c r="H9" s="16">
        <v>0.69</v>
      </c>
      <c r="I9" s="16">
        <v>0.68</v>
      </c>
      <c r="J9" s="16"/>
      <c r="K9" s="16"/>
      <c r="L9" s="16"/>
      <c r="M9" s="16"/>
      <c r="N9" s="16"/>
      <c r="O9" s="16"/>
    </row>
    <row r="10" spans="1:15" ht="30" customHeight="1" x14ac:dyDescent="0.4">
      <c r="A10" s="5" t="s">
        <v>375</v>
      </c>
      <c r="B10" s="16"/>
      <c r="C10" s="16"/>
      <c r="D10" s="16"/>
      <c r="E10" s="16"/>
      <c r="F10" s="16"/>
      <c r="G10" s="16"/>
      <c r="H10" s="16"/>
      <c r="I10" s="16"/>
      <c r="J10" s="16"/>
      <c r="K10" s="16"/>
      <c r="L10" s="16"/>
      <c r="M10" s="16"/>
      <c r="N10" s="16"/>
      <c r="O10" s="16"/>
    </row>
    <row r="11" spans="1:15" x14ac:dyDescent="0.35">
      <c r="A11" s="11" t="s">
        <v>386</v>
      </c>
      <c r="B11" s="16" t="s">
        <v>387</v>
      </c>
      <c r="C11" s="16" t="s">
        <v>388</v>
      </c>
      <c r="D11" s="16" t="s">
        <v>389</v>
      </c>
      <c r="E11" s="16" t="s">
        <v>390</v>
      </c>
      <c r="F11" s="16" t="s">
        <v>391</v>
      </c>
      <c r="G11" s="16" t="s">
        <v>392</v>
      </c>
      <c r="H11" s="16" t="s">
        <v>393</v>
      </c>
      <c r="I11" s="16" t="s">
        <v>394</v>
      </c>
      <c r="J11" s="16"/>
      <c r="K11" s="16"/>
      <c r="L11" s="16"/>
      <c r="M11" s="16"/>
      <c r="N11" s="16"/>
      <c r="O11" s="16"/>
    </row>
    <row r="12" spans="1:15" x14ac:dyDescent="0.35">
      <c r="A12" s="8" t="s">
        <v>514</v>
      </c>
      <c r="B12" s="15">
        <v>0.53</v>
      </c>
      <c r="C12" s="15">
        <v>0.52</v>
      </c>
      <c r="D12" s="15">
        <v>0.52</v>
      </c>
      <c r="E12" s="15">
        <v>0.51</v>
      </c>
      <c r="F12" s="15">
        <v>0.51</v>
      </c>
      <c r="G12" s="15">
        <v>0.51</v>
      </c>
      <c r="H12" s="15">
        <v>0.51</v>
      </c>
      <c r="I12" s="15">
        <v>0.52</v>
      </c>
      <c r="J12" s="15"/>
      <c r="K12" s="15"/>
      <c r="L12" s="15"/>
      <c r="M12" s="15"/>
      <c r="N12" s="15"/>
      <c r="O12" s="15"/>
    </row>
    <row r="13" spans="1:15" x14ac:dyDescent="0.35">
      <c r="A13" s="11" t="s">
        <v>515</v>
      </c>
      <c r="B13" s="16">
        <v>0.47</v>
      </c>
      <c r="C13" s="16">
        <v>0.48</v>
      </c>
      <c r="D13" s="16">
        <v>0.48</v>
      </c>
      <c r="E13" s="16">
        <v>0.49</v>
      </c>
      <c r="F13" s="16">
        <v>0.49</v>
      </c>
      <c r="G13" s="16">
        <v>0.49</v>
      </c>
      <c r="H13" s="16">
        <v>0.49</v>
      </c>
      <c r="I13" s="16">
        <v>0.48</v>
      </c>
      <c r="J13" s="16"/>
      <c r="K13" s="16"/>
      <c r="L13" s="16"/>
      <c r="M13" s="16"/>
      <c r="N13" s="16"/>
      <c r="O13" s="16"/>
    </row>
    <row r="14" spans="1:15" x14ac:dyDescent="0.35">
      <c r="A14" s="11" t="s">
        <v>395</v>
      </c>
      <c r="B14" s="16">
        <v>1</v>
      </c>
      <c r="C14" s="16">
        <v>1</v>
      </c>
      <c r="D14" s="16">
        <v>1</v>
      </c>
      <c r="E14" s="16">
        <v>1</v>
      </c>
      <c r="F14" s="16">
        <v>1</v>
      </c>
      <c r="G14" s="16">
        <v>1</v>
      </c>
      <c r="H14" s="16">
        <v>1</v>
      </c>
      <c r="I14" s="16">
        <v>1</v>
      </c>
      <c r="J14" s="16"/>
      <c r="K14" s="16"/>
      <c r="L14" s="16"/>
      <c r="M14" s="16"/>
      <c r="N14" s="16"/>
      <c r="O14" s="16"/>
    </row>
    <row r="15" spans="1:15" ht="30" customHeight="1" x14ac:dyDescent="0.4">
      <c r="A15" s="5" t="s">
        <v>376</v>
      </c>
      <c r="B15" s="16"/>
      <c r="C15" s="16"/>
      <c r="D15" s="16"/>
      <c r="E15" s="16"/>
      <c r="F15" s="16"/>
      <c r="G15" s="16"/>
      <c r="H15" s="16"/>
      <c r="I15" s="16"/>
      <c r="J15" s="16"/>
      <c r="K15" s="16"/>
      <c r="L15" s="16"/>
      <c r="M15" s="16"/>
      <c r="N15" s="16"/>
      <c r="O15" s="16"/>
    </row>
    <row r="16" spans="1:15" x14ac:dyDescent="0.35">
      <c r="A16" s="11" t="s">
        <v>386</v>
      </c>
      <c r="B16" s="16" t="s">
        <v>387</v>
      </c>
      <c r="C16" s="16" t="s">
        <v>388</v>
      </c>
      <c r="D16" s="16" t="s">
        <v>389</v>
      </c>
      <c r="E16" s="16" t="s">
        <v>390</v>
      </c>
      <c r="F16" s="16" t="s">
        <v>391</v>
      </c>
      <c r="G16" s="16" t="s">
        <v>392</v>
      </c>
      <c r="H16" s="16" t="s">
        <v>393</v>
      </c>
      <c r="I16" s="16" t="s">
        <v>394</v>
      </c>
      <c r="J16" s="16"/>
      <c r="K16" s="16"/>
      <c r="L16" s="16"/>
      <c r="M16" s="16"/>
      <c r="N16" s="16"/>
      <c r="O16" s="16"/>
    </row>
    <row r="17" spans="1:15" x14ac:dyDescent="0.35">
      <c r="A17" s="8" t="s">
        <v>514</v>
      </c>
      <c r="B17" s="12">
        <v>51</v>
      </c>
      <c r="C17" s="12">
        <v>50</v>
      </c>
      <c r="D17" s="12">
        <v>51</v>
      </c>
      <c r="E17" s="12">
        <v>54</v>
      </c>
      <c r="F17" s="12">
        <v>52</v>
      </c>
      <c r="G17" s="12">
        <v>50</v>
      </c>
      <c r="H17" s="12">
        <v>51</v>
      </c>
      <c r="I17" s="12">
        <v>52</v>
      </c>
      <c r="J17" s="12"/>
      <c r="K17" s="12"/>
      <c r="L17" s="12"/>
      <c r="M17" s="12"/>
      <c r="N17" s="12"/>
      <c r="O17" s="12"/>
    </row>
    <row r="18" spans="1:15" x14ac:dyDescent="0.35">
      <c r="A18" s="11" t="s">
        <v>515</v>
      </c>
      <c r="B18" s="13">
        <v>49</v>
      </c>
      <c r="C18" s="13">
        <v>49</v>
      </c>
      <c r="D18" s="13">
        <v>50</v>
      </c>
      <c r="E18" s="13">
        <v>52</v>
      </c>
      <c r="F18" s="13">
        <v>52</v>
      </c>
      <c r="G18" s="13">
        <v>50</v>
      </c>
      <c r="H18" s="13">
        <v>51</v>
      </c>
      <c r="I18" s="13">
        <v>54</v>
      </c>
      <c r="J18" s="13"/>
      <c r="K18" s="13"/>
      <c r="L18" s="13"/>
      <c r="M18" s="13"/>
      <c r="N18" s="13"/>
      <c r="O18" s="13"/>
    </row>
    <row r="19" spans="1:15" x14ac:dyDescent="0.35">
      <c r="A19" s="11" t="s">
        <v>395</v>
      </c>
      <c r="B19" s="13">
        <v>50</v>
      </c>
      <c r="C19" s="13">
        <v>50</v>
      </c>
      <c r="D19" s="13">
        <v>51</v>
      </c>
      <c r="E19" s="13">
        <v>53</v>
      </c>
      <c r="F19" s="13">
        <v>52</v>
      </c>
      <c r="G19" s="13">
        <v>50</v>
      </c>
      <c r="H19" s="13">
        <v>51</v>
      </c>
      <c r="I19" s="13">
        <v>53</v>
      </c>
      <c r="J19" s="13"/>
      <c r="K19" s="13"/>
      <c r="L19" s="13"/>
      <c r="M19" s="13"/>
      <c r="N19" s="13"/>
      <c r="O19" s="13"/>
    </row>
    <row r="20" spans="1:15" ht="30" customHeight="1" x14ac:dyDescent="0.4">
      <c r="A20" s="5" t="s">
        <v>377</v>
      </c>
      <c r="B20" s="13"/>
      <c r="C20" s="13"/>
      <c r="D20" s="13"/>
      <c r="E20" s="13"/>
      <c r="F20" s="13"/>
      <c r="G20" s="13"/>
      <c r="H20" s="13"/>
      <c r="I20" s="13"/>
      <c r="J20" s="13"/>
      <c r="K20" s="13"/>
      <c r="L20" s="13"/>
      <c r="M20" s="13"/>
      <c r="N20" s="13"/>
      <c r="O20" s="13"/>
    </row>
    <row r="21" spans="1:15" x14ac:dyDescent="0.35">
      <c r="A21" s="11" t="s">
        <v>386</v>
      </c>
      <c r="B21" s="13" t="s">
        <v>387</v>
      </c>
      <c r="C21" s="13" t="s">
        <v>388</v>
      </c>
      <c r="D21" s="13" t="s">
        <v>389</v>
      </c>
      <c r="E21" s="13" t="s">
        <v>390</v>
      </c>
      <c r="F21" s="13" t="s">
        <v>391</v>
      </c>
      <c r="G21" s="13" t="s">
        <v>392</v>
      </c>
      <c r="H21" s="13" t="s">
        <v>393</v>
      </c>
      <c r="I21" s="13" t="s">
        <v>394</v>
      </c>
      <c r="J21" s="13"/>
      <c r="K21" s="13"/>
      <c r="L21" s="13"/>
      <c r="M21" s="13"/>
      <c r="N21" s="13"/>
      <c r="O21" s="13"/>
    </row>
    <row r="22" spans="1:15" x14ac:dyDescent="0.35">
      <c r="A22" s="8" t="s">
        <v>514</v>
      </c>
      <c r="B22" s="12">
        <v>2314</v>
      </c>
      <c r="C22" s="12">
        <v>1638</v>
      </c>
      <c r="D22" s="12">
        <v>1768</v>
      </c>
      <c r="E22" s="12">
        <v>1578</v>
      </c>
      <c r="F22" s="12">
        <v>1435</v>
      </c>
      <c r="G22" s="12">
        <v>1387</v>
      </c>
      <c r="H22" s="12">
        <v>1290</v>
      </c>
      <c r="I22" s="12">
        <v>1050</v>
      </c>
      <c r="J22" s="12"/>
      <c r="K22" s="12"/>
      <c r="L22" s="12"/>
      <c r="M22" s="12"/>
      <c r="N22" s="12"/>
      <c r="O22" s="12"/>
    </row>
    <row r="23" spans="1:15" x14ac:dyDescent="0.35">
      <c r="A23" s="11" t="s">
        <v>515</v>
      </c>
      <c r="B23" s="13">
        <v>2620</v>
      </c>
      <c r="C23" s="13">
        <v>1851</v>
      </c>
      <c r="D23" s="13">
        <v>1940</v>
      </c>
      <c r="E23" s="13">
        <v>1769</v>
      </c>
      <c r="F23" s="13">
        <v>1580</v>
      </c>
      <c r="G23" s="13">
        <v>1490</v>
      </c>
      <c r="H23" s="13">
        <v>1369</v>
      </c>
      <c r="I23" s="13">
        <v>1134</v>
      </c>
      <c r="J23" s="13"/>
      <c r="K23" s="13"/>
      <c r="L23" s="13"/>
      <c r="M23" s="13"/>
      <c r="N23" s="13"/>
      <c r="O23" s="13"/>
    </row>
    <row r="24" spans="1:15" x14ac:dyDescent="0.35">
      <c r="A24" s="11" t="s">
        <v>395</v>
      </c>
      <c r="B24" s="13">
        <v>4934</v>
      </c>
      <c r="C24" s="13">
        <v>3489</v>
      </c>
      <c r="D24" s="13">
        <v>3708</v>
      </c>
      <c r="E24" s="13">
        <v>3347</v>
      </c>
      <c r="F24" s="13">
        <v>3015</v>
      </c>
      <c r="G24" s="13">
        <v>2877</v>
      </c>
      <c r="H24" s="13">
        <v>2659</v>
      </c>
      <c r="I24" s="13">
        <v>2184</v>
      </c>
      <c r="J24" s="13"/>
      <c r="K24" s="13"/>
      <c r="L24" s="13"/>
      <c r="M24" s="13"/>
      <c r="N24" s="13"/>
      <c r="O24" s="13"/>
    </row>
    <row r="25" spans="1:15" x14ac:dyDescent="0.35">
      <c r="A25" s="11"/>
      <c r="B25" s="13"/>
      <c r="C25" s="13"/>
      <c r="D25" s="13"/>
      <c r="E25" s="13"/>
      <c r="F25" s="13"/>
      <c r="G25" s="13"/>
      <c r="H25" s="13"/>
      <c r="I25" s="13"/>
      <c r="J25" s="13"/>
      <c r="K25" s="13"/>
      <c r="L25" s="13"/>
      <c r="M25" s="13"/>
      <c r="N25" s="13"/>
      <c r="O25" s="13"/>
    </row>
    <row r="26" spans="1:15" x14ac:dyDescent="0.35">
      <c r="A26" s="11"/>
      <c r="B26" s="13"/>
      <c r="C26" s="13"/>
      <c r="D26" s="13"/>
      <c r="E26" s="13"/>
      <c r="F26" s="13"/>
      <c r="G26" s="13"/>
      <c r="H26" s="13"/>
      <c r="I26" s="13"/>
      <c r="J26" s="13"/>
      <c r="K26" s="13"/>
      <c r="L26" s="13"/>
      <c r="M26" s="13"/>
      <c r="N26" s="13"/>
      <c r="O26" s="13"/>
    </row>
    <row r="27" spans="1:15" x14ac:dyDescent="0.35">
      <c r="A27" s="11"/>
      <c r="B27" s="9"/>
      <c r="C27" s="9"/>
      <c r="D27" s="9"/>
      <c r="E27" s="9"/>
      <c r="F27" s="9"/>
      <c r="G27" s="9"/>
      <c r="H27" s="9"/>
      <c r="I27" s="9"/>
      <c r="J27" s="9"/>
      <c r="K27" s="9"/>
      <c r="L27" s="9"/>
      <c r="M27" s="9"/>
      <c r="N27" s="9"/>
      <c r="O27" s="9"/>
    </row>
    <row r="28" spans="1:15" x14ac:dyDescent="0.35">
      <c r="A28" s="11"/>
      <c r="B28" s="9"/>
      <c r="C28" s="9"/>
      <c r="D28" s="9"/>
      <c r="E28" s="9"/>
      <c r="F28" s="9"/>
      <c r="G28" s="9"/>
      <c r="H28" s="9"/>
      <c r="I28" s="9"/>
      <c r="J28" s="9"/>
      <c r="K28" s="9"/>
      <c r="L28" s="9"/>
      <c r="M28" s="9"/>
      <c r="N28" s="9"/>
      <c r="O28" s="9"/>
    </row>
    <row r="29" spans="1:15" x14ac:dyDescent="0.35">
      <c r="A29" s="11"/>
      <c r="B29" s="9"/>
      <c r="C29" s="9"/>
      <c r="D29" s="9"/>
      <c r="E29" s="9"/>
      <c r="F29" s="9"/>
      <c r="G29" s="9"/>
      <c r="H29" s="9"/>
      <c r="I29" s="9"/>
      <c r="J29" s="9"/>
      <c r="K29" s="9"/>
      <c r="L29" s="9"/>
      <c r="M29" s="9"/>
      <c r="N29" s="9"/>
      <c r="O29" s="9"/>
    </row>
    <row r="30" spans="1:15" x14ac:dyDescent="0.35">
      <c r="A30" s="11"/>
      <c r="B30" s="9"/>
      <c r="C30" s="9"/>
      <c r="D30" s="9"/>
      <c r="E30" s="9"/>
      <c r="F30" s="9"/>
      <c r="G30" s="9"/>
      <c r="H30" s="9"/>
      <c r="I30" s="9"/>
      <c r="J30" s="9"/>
      <c r="K30" s="9"/>
      <c r="L30" s="9"/>
      <c r="M30" s="9"/>
      <c r="N30" s="9"/>
      <c r="O30" s="9"/>
    </row>
    <row r="31" spans="1:15" x14ac:dyDescent="0.35">
      <c r="A31" s="11"/>
      <c r="B31" s="9"/>
      <c r="C31" s="9"/>
      <c r="D31" s="9"/>
      <c r="E31" s="9"/>
      <c r="F31" s="9"/>
      <c r="G31" s="9"/>
      <c r="H31" s="9"/>
      <c r="I31" s="9"/>
      <c r="J31" s="9"/>
      <c r="K31" s="9"/>
      <c r="L31" s="9"/>
      <c r="M31" s="9"/>
      <c r="N31" s="9"/>
      <c r="O31" s="9"/>
    </row>
    <row r="32" spans="1:15" x14ac:dyDescent="0.35">
      <c r="A32" s="11"/>
      <c r="B32" s="9"/>
      <c r="C32" s="9"/>
      <c r="D32" s="9"/>
      <c r="E32" s="9"/>
      <c r="F32" s="9"/>
      <c r="G32" s="9"/>
      <c r="H32" s="9"/>
      <c r="I32" s="9"/>
      <c r="J32" s="9"/>
      <c r="K32" s="9"/>
      <c r="L32" s="9"/>
      <c r="M32" s="9"/>
      <c r="N32" s="9"/>
      <c r="O32" s="9"/>
    </row>
    <row r="33" spans="1:15" x14ac:dyDescent="0.35">
      <c r="A33" s="11"/>
      <c r="B33" s="9"/>
      <c r="C33" s="9"/>
      <c r="D33" s="9"/>
      <c r="E33" s="9"/>
      <c r="F33" s="9"/>
      <c r="G33" s="9"/>
      <c r="H33" s="9"/>
      <c r="I33" s="9"/>
      <c r="J33" s="9"/>
      <c r="K33" s="9"/>
      <c r="L33" s="9"/>
      <c r="M33" s="9"/>
      <c r="N33" s="9"/>
      <c r="O33" s="9"/>
    </row>
    <row r="34" spans="1:15" x14ac:dyDescent="0.35">
      <c r="A34" s="11"/>
      <c r="B34" s="9"/>
      <c r="C34" s="9"/>
      <c r="D34" s="9"/>
      <c r="E34" s="9"/>
      <c r="F34" s="9"/>
      <c r="G34" s="9"/>
      <c r="H34" s="9"/>
      <c r="I34" s="9"/>
      <c r="J34" s="9"/>
      <c r="K34" s="9"/>
      <c r="L34" s="9"/>
      <c r="M34" s="9"/>
      <c r="N34" s="9"/>
      <c r="O34" s="9"/>
    </row>
    <row r="35" spans="1:15" x14ac:dyDescent="0.35">
      <c r="A35" s="11"/>
      <c r="B35" s="9"/>
      <c r="C35" s="9"/>
      <c r="D35" s="9"/>
      <c r="E35" s="9"/>
      <c r="F35" s="9"/>
      <c r="G35" s="9"/>
      <c r="H35" s="9"/>
      <c r="I35" s="9"/>
      <c r="J35" s="9"/>
      <c r="K35" s="9"/>
      <c r="L35" s="9"/>
      <c r="M35" s="9"/>
      <c r="N35" s="9"/>
      <c r="O35" s="9"/>
    </row>
    <row r="36" spans="1:15" x14ac:dyDescent="0.35">
      <c r="A36" s="11"/>
      <c r="B36" s="9"/>
      <c r="C36" s="9"/>
      <c r="D36" s="9"/>
      <c r="E36" s="9"/>
      <c r="F36" s="9"/>
      <c r="G36" s="9"/>
      <c r="H36" s="9"/>
      <c r="I36" s="9"/>
      <c r="J36" s="9"/>
      <c r="K36" s="9"/>
      <c r="L36" s="9"/>
      <c r="M36" s="9"/>
      <c r="N36" s="9"/>
      <c r="O36" s="9"/>
    </row>
    <row r="37" spans="1:15" x14ac:dyDescent="0.35">
      <c r="A37" s="11"/>
      <c r="B37" s="9"/>
      <c r="C37" s="9"/>
      <c r="D37" s="9"/>
      <c r="E37" s="9"/>
      <c r="F37" s="9"/>
      <c r="G37" s="9"/>
      <c r="H37" s="9"/>
      <c r="I37" s="9"/>
      <c r="J37" s="9"/>
      <c r="K37" s="9"/>
      <c r="L37" s="9"/>
      <c r="M37" s="9"/>
      <c r="N37" s="9"/>
      <c r="O37" s="9"/>
    </row>
    <row r="38" spans="1:15" x14ac:dyDescent="0.35">
      <c r="A38" s="11"/>
      <c r="B38" s="9"/>
      <c r="C38" s="9"/>
      <c r="D38" s="9"/>
      <c r="E38" s="9"/>
      <c r="F38" s="9"/>
      <c r="G38" s="9"/>
      <c r="H38" s="9"/>
      <c r="I38" s="9"/>
      <c r="J38" s="9"/>
      <c r="K38" s="9"/>
      <c r="L38" s="9"/>
      <c r="M38" s="9"/>
      <c r="N38" s="9"/>
      <c r="O38" s="9"/>
    </row>
    <row r="39" spans="1:15" x14ac:dyDescent="0.35">
      <c r="A39" s="11"/>
      <c r="B39" s="9"/>
      <c r="C39" s="9"/>
      <c r="D39" s="9"/>
      <c r="E39" s="9"/>
      <c r="F39" s="9"/>
      <c r="G39" s="9"/>
      <c r="H39" s="9"/>
      <c r="I39" s="9"/>
      <c r="J39" s="9"/>
      <c r="K39" s="9"/>
      <c r="L39" s="9"/>
      <c r="M39" s="9"/>
      <c r="N39" s="9"/>
      <c r="O39" s="9"/>
    </row>
    <row r="40" spans="1:15" x14ac:dyDescent="0.35">
      <c r="A40" s="11"/>
      <c r="B40" s="9"/>
      <c r="C40" s="9"/>
      <c r="D40" s="9"/>
      <c r="E40" s="9"/>
      <c r="F40" s="9"/>
      <c r="G40" s="9"/>
      <c r="H40" s="9"/>
      <c r="I40" s="9"/>
      <c r="J40" s="9"/>
      <c r="K40" s="9"/>
      <c r="L40" s="9"/>
      <c r="M40" s="9"/>
      <c r="N40" s="9"/>
      <c r="O40" s="9"/>
    </row>
    <row r="41" spans="1:15" x14ac:dyDescent="0.35">
      <c r="A41" s="11"/>
      <c r="B41" s="9"/>
      <c r="C41" s="9"/>
      <c r="D41" s="9"/>
      <c r="E41" s="9"/>
      <c r="F41" s="9"/>
      <c r="G41" s="9"/>
      <c r="H41" s="9"/>
      <c r="I41" s="9"/>
      <c r="J41" s="9"/>
      <c r="K41" s="9"/>
      <c r="L41" s="9"/>
      <c r="M41" s="9"/>
      <c r="N41" s="9"/>
      <c r="O41" s="9"/>
    </row>
    <row r="42" spans="1:15" x14ac:dyDescent="0.35">
      <c r="A42" s="11"/>
      <c r="B42" s="9"/>
      <c r="C42" s="9"/>
      <c r="D42" s="9"/>
      <c r="E42" s="9"/>
      <c r="F42" s="9"/>
      <c r="G42" s="9"/>
      <c r="H42" s="9"/>
      <c r="I42" s="9"/>
      <c r="J42" s="9"/>
      <c r="K42" s="9"/>
      <c r="L42" s="9"/>
      <c r="M42" s="9"/>
      <c r="N42" s="9"/>
      <c r="O42" s="9"/>
    </row>
    <row r="43" spans="1:15" x14ac:dyDescent="0.35">
      <c r="A43" s="11"/>
      <c r="B43" s="9"/>
      <c r="C43" s="9"/>
      <c r="D43" s="9"/>
      <c r="E43" s="9"/>
      <c r="F43" s="9"/>
      <c r="G43" s="9"/>
      <c r="H43" s="9"/>
      <c r="I43" s="9"/>
      <c r="J43" s="9"/>
      <c r="K43" s="9"/>
      <c r="L43" s="9"/>
      <c r="M43" s="9"/>
      <c r="N43" s="9"/>
      <c r="O43" s="9"/>
    </row>
    <row r="44" spans="1:15" x14ac:dyDescent="0.35">
      <c r="A44" s="11"/>
      <c r="B44" s="9"/>
      <c r="C44" s="9"/>
      <c r="D44" s="9"/>
      <c r="E44" s="9"/>
      <c r="F44" s="9"/>
      <c r="G44" s="9"/>
      <c r="H44" s="9"/>
      <c r="I44" s="9"/>
      <c r="J44" s="9"/>
      <c r="K44" s="9"/>
      <c r="L44" s="9"/>
      <c r="M44" s="9"/>
      <c r="N44" s="9"/>
      <c r="O44" s="9"/>
    </row>
    <row r="45" spans="1:15" x14ac:dyDescent="0.35">
      <c r="A45" s="11"/>
      <c r="B45" s="9"/>
      <c r="C45" s="9"/>
      <c r="D45" s="9"/>
      <c r="E45" s="9"/>
      <c r="F45" s="9"/>
      <c r="G45" s="9"/>
      <c r="H45" s="9"/>
      <c r="I45" s="9"/>
      <c r="J45" s="9"/>
      <c r="K45" s="9"/>
      <c r="L45" s="9"/>
      <c r="M45" s="9"/>
      <c r="N45" s="9"/>
      <c r="O45" s="9"/>
    </row>
    <row r="46" spans="1:15" x14ac:dyDescent="0.35">
      <c r="A46" s="11"/>
      <c r="B46" s="9"/>
      <c r="C46" s="9"/>
      <c r="D46" s="9"/>
      <c r="E46" s="9"/>
      <c r="F46" s="9"/>
      <c r="G46" s="9"/>
      <c r="H46" s="9"/>
      <c r="I46" s="9"/>
      <c r="J46" s="9"/>
      <c r="K46" s="9"/>
      <c r="L46" s="9"/>
      <c r="M46" s="9"/>
      <c r="N46" s="9"/>
      <c r="O46" s="9"/>
    </row>
    <row r="47" spans="1:15" x14ac:dyDescent="0.35">
      <c r="A47" s="11"/>
      <c r="B47" s="9"/>
      <c r="C47" s="9"/>
      <c r="D47" s="9"/>
      <c r="E47" s="9"/>
      <c r="F47" s="9"/>
      <c r="G47" s="9"/>
      <c r="H47" s="9"/>
      <c r="I47" s="9"/>
      <c r="J47" s="9"/>
      <c r="K47" s="9"/>
      <c r="L47" s="9"/>
      <c r="M47" s="9"/>
      <c r="N47" s="9"/>
      <c r="O47" s="9"/>
    </row>
    <row r="48" spans="1:15" x14ac:dyDescent="0.35">
      <c r="A48" s="11"/>
      <c r="B48" s="9"/>
      <c r="C48" s="9"/>
      <c r="D48" s="9"/>
      <c r="E48" s="9"/>
      <c r="F48" s="9"/>
      <c r="G48" s="9"/>
      <c r="H48" s="9"/>
      <c r="I48" s="9"/>
      <c r="J48" s="9"/>
      <c r="K48" s="9"/>
      <c r="L48" s="9"/>
      <c r="M48" s="9"/>
      <c r="N48" s="9"/>
      <c r="O48" s="9"/>
    </row>
    <row r="49" spans="1:15" x14ac:dyDescent="0.35">
      <c r="A49" s="11"/>
      <c r="B49" s="9"/>
      <c r="C49" s="9"/>
      <c r="D49" s="9"/>
      <c r="E49" s="9"/>
      <c r="F49" s="9"/>
      <c r="G49" s="9"/>
      <c r="H49" s="9"/>
      <c r="I49" s="9"/>
      <c r="J49" s="9"/>
      <c r="K49" s="9"/>
      <c r="L49" s="9"/>
      <c r="M49" s="9"/>
      <c r="N49" s="9"/>
      <c r="O49" s="9"/>
    </row>
    <row r="50" spans="1:15" x14ac:dyDescent="0.35">
      <c r="A50" s="11"/>
      <c r="B50" s="9"/>
      <c r="C50" s="9"/>
      <c r="D50" s="9"/>
      <c r="E50" s="9"/>
      <c r="F50" s="9"/>
      <c r="G50" s="9"/>
      <c r="H50" s="9"/>
      <c r="I50" s="9"/>
      <c r="J50" s="9"/>
      <c r="K50" s="9"/>
      <c r="L50" s="9"/>
      <c r="M50" s="9"/>
      <c r="N50" s="9"/>
      <c r="O50" s="9"/>
    </row>
    <row r="51" spans="1:15" x14ac:dyDescent="0.35">
      <c r="A51" s="11"/>
      <c r="B51" s="9"/>
      <c r="C51" s="9"/>
      <c r="D51" s="9"/>
      <c r="E51" s="9"/>
      <c r="F51" s="9"/>
      <c r="G51" s="9"/>
      <c r="H51" s="9"/>
      <c r="I51" s="9"/>
      <c r="J51" s="9"/>
      <c r="K51" s="9"/>
      <c r="L51" s="9"/>
      <c r="M51" s="9"/>
      <c r="N51" s="9"/>
      <c r="O51" s="9"/>
    </row>
    <row r="52" spans="1:15" x14ac:dyDescent="0.35">
      <c r="A52" s="11"/>
      <c r="B52" s="9"/>
      <c r="C52" s="9"/>
      <c r="D52" s="9"/>
      <c r="E52" s="9"/>
      <c r="F52" s="9"/>
      <c r="G52" s="9"/>
      <c r="H52" s="9"/>
      <c r="I52" s="9"/>
      <c r="J52" s="9"/>
      <c r="K52" s="9"/>
      <c r="L52" s="9"/>
      <c r="M52" s="9"/>
      <c r="N52" s="9"/>
      <c r="O52" s="9"/>
    </row>
    <row r="53" spans="1:15" x14ac:dyDescent="0.35">
      <c r="A53" s="11"/>
      <c r="B53" s="9"/>
      <c r="C53" s="9"/>
      <c r="D53" s="9"/>
      <c r="E53" s="9"/>
      <c r="F53" s="9"/>
      <c r="G53" s="9"/>
      <c r="H53" s="9"/>
      <c r="I53" s="9"/>
      <c r="J53" s="9"/>
      <c r="K53" s="9"/>
      <c r="L53" s="9"/>
      <c r="M53" s="9"/>
      <c r="N53" s="9"/>
      <c r="O53" s="9"/>
    </row>
    <row r="54" spans="1:15" x14ac:dyDescent="0.35">
      <c r="A54" s="11"/>
      <c r="B54" s="9"/>
      <c r="C54" s="9"/>
      <c r="D54" s="9"/>
      <c r="E54" s="9"/>
      <c r="F54" s="9"/>
      <c r="G54" s="9"/>
      <c r="H54" s="9"/>
      <c r="I54" s="9"/>
      <c r="J54" s="9"/>
      <c r="K54" s="9"/>
      <c r="L54" s="9"/>
      <c r="M54" s="9"/>
      <c r="N54" s="9"/>
      <c r="O54" s="9"/>
    </row>
    <row r="55" spans="1:15" x14ac:dyDescent="0.35">
      <c r="A55" s="11"/>
      <c r="B55" s="9"/>
      <c r="C55" s="9"/>
      <c r="D55" s="9"/>
      <c r="E55" s="9"/>
      <c r="F55" s="9"/>
      <c r="G55" s="9"/>
      <c r="H55" s="9"/>
      <c r="I55" s="9"/>
      <c r="J55" s="9"/>
      <c r="K55" s="9"/>
      <c r="L55" s="9"/>
      <c r="M55" s="9"/>
      <c r="N55" s="9"/>
      <c r="O55" s="9"/>
    </row>
    <row r="56" spans="1:15" x14ac:dyDescent="0.35">
      <c r="A56" s="11"/>
      <c r="B56" s="9"/>
      <c r="C56" s="9"/>
      <c r="D56" s="9"/>
      <c r="E56" s="9"/>
      <c r="F56" s="9"/>
      <c r="G56" s="9"/>
      <c r="H56" s="9"/>
      <c r="I56" s="9"/>
      <c r="J56" s="9"/>
      <c r="K56" s="9"/>
      <c r="L56" s="9"/>
      <c r="M56" s="9"/>
      <c r="N56" s="9"/>
      <c r="O56" s="9"/>
    </row>
    <row r="57" spans="1:15" x14ac:dyDescent="0.35">
      <c r="A57" s="11"/>
      <c r="B57" s="9"/>
      <c r="C57" s="9"/>
      <c r="D57" s="9"/>
      <c r="E57" s="9"/>
      <c r="F57" s="9"/>
      <c r="G57" s="9"/>
      <c r="H57" s="9"/>
      <c r="I57" s="9"/>
      <c r="J57" s="9"/>
      <c r="K57" s="9"/>
      <c r="L57" s="9"/>
      <c r="M57" s="9"/>
      <c r="N57" s="9"/>
      <c r="O57" s="9"/>
    </row>
    <row r="58" spans="1:15" x14ac:dyDescent="0.35">
      <c r="A58" s="11"/>
      <c r="B58" s="9"/>
      <c r="C58" s="9"/>
      <c r="D58" s="9"/>
      <c r="E58" s="9"/>
      <c r="F58" s="9"/>
      <c r="G58" s="9"/>
      <c r="H58" s="9"/>
      <c r="I58" s="9"/>
      <c r="J58" s="9"/>
      <c r="K58" s="9"/>
      <c r="L58" s="9"/>
      <c r="M58" s="9"/>
      <c r="N58" s="9"/>
      <c r="O58" s="9"/>
    </row>
    <row r="59" spans="1:15" x14ac:dyDescent="0.35">
      <c r="A59" s="11"/>
      <c r="B59" s="9"/>
      <c r="C59" s="9"/>
      <c r="D59" s="9"/>
      <c r="E59" s="9"/>
      <c r="F59" s="9"/>
      <c r="G59" s="9"/>
      <c r="H59" s="9"/>
      <c r="I59" s="9"/>
      <c r="J59" s="9"/>
      <c r="K59" s="9"/>
      <c r="L59" s="9"/>
      <c r="M59" s="9"/>
      <c r="N59" s="9"/>
      <c r="O59" s="9"/>
    </row>
    <row r="60" spans="1:15" x14ac:dyDescent="0.35">
      <c r="A60" s="11"/>
      <c r="B60" s="9"/>
      <c r="C60" s="9"/>
      <c r="D60" s="9"/>
      <c r="E60" s="9"/>
      <c r="F60" s="9"/>
      <c r="G60" s="9"/>
      <c r="H60" s="9"/>
      <c r="I60" s="9"/>
      <c r="J60" s="9"/>
      <c r="K60" s="9"/>
      <c r="L60" s="9"/>
      <c r="M60" s="9"/>
      <c r="N60" s="9"/>
      <c r="O60" s="9"/>
    </row>
    <row r="61" spans="1:15" x14ac:dyDescent="0.35">
      <c r="A61" s="11"/>
      <c r="B61" s="9"/>
      <c r="C61" s="9"/>
      <c r="D61" s="9"/>
      <c r="E61" s="9"/>
      <c r="F61" s="9"/>
      <c r="G61" s="9"/>
      <c r="H61" s="9"/>
      <c r="I61" s="9"/>
      <c r="J61" s="9"/>
      <c r="K61" s="9"/>
      <c r="L61" s="9"/>
      <c r="M61" s="9"/>
      <c r="N61" s="9"/>
      <c r="O61" s="9"/>
    </row>
    <row r="62" spans="1:15" x14ac:dyDescent="0.35">
      <c r="A62" s="11"/>
      <c r="B62" s="9"/>
      <c r="C62" s="9"/>
      <c r="D62" s="9"/>
      <c r="E62" s="9"/>
      <c r="F62" s="9"/>
      <c r="G62" s="9"/>
      <c r="H62" s="9"/>
      <c r="I62" s="9"/>
      <c r="J62" s="9"/>
      <c r="K62" s="9"/>
      <c r="L62" s="9"/>
      <c r="M62" s="9"/>
      <c r="N62" s="9"/>
      <c r="O62" s="9"/>
    </row>
    <row r="63" spans="1:15" x14ac:dyDescent="0.35">
      <c r="A63" s="11"/>
      <c r="B63" s="9"/>
      <c r="C63" s="9"/>
      <c r="D63" s="9"/>
      <c r="E63" s="9"/>
      <c r="F63" s="9"/>
      <c r="G63" s="9"/>
      <c r="H63" s="9"/>
      <c r="I63" s="9"/>
      <c r="J63" s="9"/>
      <c r="K63" s="9"/>
      <c r="L63" s="9"/>
      <c r="M63" s="9"/>
      <c r="N63" s="9"/>
      <c r="O63" s="9"/>
    </row>
    <row r="64" spans="1:15" x14ac:dyDescent="0.35">
      <c r="A64" s="11"/>
      <c r="B64" s="9"/>
      <c r="C64" s="9"/>
      <c r="D64" s="9"/>
      <c r="E64" s="9"/>
      <c r="F64" s="9"/>
      <c r="G64" s="9"/>
      <c r="H64" s="9"/>
      <c r="I64" s="9"/>
      <c r="J64" s="9"/>
      <c r="K64" s="9"/>
      <c r="L64" s="9"/>
      <c r="M64" s="9"/>
      <c r="N64" s="9"/>
      <c r="O64" s="9"/>
    </row>
    <row r="65" spans="1:15" x14ac:dyDescent="0.35">
      <c r="A65" s="11"/>
      <c r="B65" s="9"/>
      <c r="C65" s="9"/>
      <c r="D65" s="9"/>
      <c r="E65" s="9"/>
      <c r="F65" s="9"/>
      <c r="G65" s="9"/>
      <c r="H65" s="9"/>
      <c r="I65" s="9"/>
      <c r="J65" s="9"/>
      <c r="K65" s="9"/>
      <c r="L65" s="9"/>
      <c r="M65" s="9"/>
      <c r="N65" s="9"/>
      <c r="O65" s="9"/>
    </row>
    <row r="66" spans="1:15" x14ac:dyDescent="0.35">
      <c r="A66" s="11"/>
      <c r="B66" s="9"/>
      <c r="C66" s="9"/>
      <c r="D66" s="9"/>
      <c r="E66" s="9"/>
      <c r="F66" s="9"/>
      <c r="G66" s="9"/>
      <c r="H66" s="9"/>
      <c r="I66" s="9"/>
      <c r="J66" s="9"/>
      <c r="K66" s="9"/>
      <c r="L66" s="9"/>
      <c r="M66" s="9"/>
      <c r="N66" s="9"/>
      <c r="O66" s="9"/>
    </row>
    <row r="67" spans="1:15" x14ac:dyDescent="0.35">
      <c r="A67" s="11"/>
      <c r="B67" s="9"/>
      <c r="C67" s="9"/>
      <c r="D67" s="9"/>
      <c r="E67" s="9"/>
      <c r="F67" s="9"/>
      <c r="G67" s="9"/>
      <c r="H67" s="9"/>
      <c r="I67" s="9"/>
      <c r="J67" s="9"/>
      <c r="K67" s="9"/>
      <c r="L67" s="9"/>
      <c r="M67" s="9"/>
      <c r="N67" s="9"/>
      <c r="O67" s="9"/>
    </row>
    <row r="68" spans="1:15" x14ac:dyDescent="0.35">
      <c r="A68" s="11"/>
      <c r="B68" s="9"/>
      <c r="C68" s="9"/>
      <c r="D68" s="9"/>
      <c r="E68" s="9"/>
      <c r="F68" s="9"/>
      <c r="G68" s="9"/>
      <c r="H68" s="9"/>
      <c r="I68" s="9"/>
      <c r="J68" s="9"/>
      <c r="K68" s="9"/>
      <c r="L68" s="9"/>
      <c r="M68" s="9"/>
      <c r="N68" s="9"/>
      <c r="O68" s="9"/>
    </row>
    <row r="69" spans="1:15" x14ac:dyDescent="0.35">
      <c r="A69" s="11"/>
      <c r="B69" s="9"/>
      <c r="C69" s="9"/>
      <c r="D69" s="9"/>
      <c r="E69" s="9"/>
      <c r="F69" s="9"/>
      <c r="G69" s="9"/>
      <c r="H69" s="9"/>
      <c r="I69" s="9"/>
      <c r="J69" s="9"/>
      <c r="K69" s="9"/>
      <c r="L69" s="9"/>
      <c r="M69" s="9"/>
      <c r="N69" s="9"/>
      <c r="O69" s="9"/>
    </row>
    <row r="70" spans="1:15" x14ac:dyDescent="0.35">
      <c r="A70" s="11"/>
      <c r="B70" s="9"/>
      <c r="C70" s="9"/>
      <c r="D70" s="9"/>
      <c r="E70" s="9"/>
      <c r="F70" s="9"/>
      <c r="G70" s="9"/>
      <c r="H70" s="9"/>
      <c r="I70" s="9"/>
      <c r="J70" s="9"/>
      <c r="K70" s="9"/>
      <c r="L70" s="9"/>
      <c r="M70" s="9"/>
      <c r="N70" s="9"/>
      <c r="O70" s="9"/>
    </row>
    <row r="71" spans="1:15" x14ac:dyDescent="0.35">
      <c r="A71" s="11"/>
      <c r="B71" s="9"/>
      <c r="C71" s="9"/>
      <c r="D71" s="9"/>
      <c r="E71" s="9"/>
      <c r="F71" s="9"/>
      <c r="G71" s="9"/>
      <c r="H71" s="9"/>
      <c r="I71" s="9"/>
      <c r="J71" s="9"/>
      <c r="K71" s="9"/>
      <c r="L71" s="9"/>
      <c r="M71" s="9"/>
      <c r="N71" s="9"/>
      <c r="O71" s="9"/>
    </row>
    <row r="72" spans="1:15" x14ac:dyDescent="0.35">
      <c r="A72" s="11"/>
      <c r="B72" s="9"/>
      <c r="C72" s="9"/>
      <c r="D72" s="9"/>
      <c r="E72" s="9"/>
      <c r="F72" s="9"/>
      <c r="G72" s="9"/>
      <c r="H72" s="9"/>
      <c r="I72" s="9"/>
      <c r="J72" s="9"/>
      <c r="K72" s="9"/>
      <c r="L72" s="9"/>
      <c r="M72" s="9"/>
      <c r="N72" s="9"/>
      <c r="O72" s="9"/>
    </row>
    <row r="73" spans="1:15" x14ac:dyDescent="0.35">
      <c r="A73" s="11"/>
      <c r="B73" s="9"/>
      <c r="C73" s="9"/>
      <c r="D73" s="9"/>
      <c r="E73" s="9"/>
      <c r="F73" s="9"/>
      <c r="G73" s="9"/>
      <c r="H73" s="9"/>
      <c r="I73" s="9"/>
      <c r="J73" s="9"/>
      <c r="K73" s="9"/>
      <c r="L73" s="9"/>
      <c r="M73" s="9"/>
      <c r="N73" s="9"/>
      <c r="O73" s="9"/>
    </row>
    <row r="74" spans="1:15" x14ac:dyDescent="0.35">
      <c r="A74" s="11"/>
      <c r="B74" s="9"/>
      <c r="C74" s="9"/>
      <c r="D74" s="9"/>
      <c r="E74" s="9"/>
      <c r="F74" s="9"/>
      <c r="G74" s="9"/>
      <c r="H74" s="9"/>
      <c r="I74" s="9"/>
      <c r="J74" s="9"/>
      <c r="K74" s="9"/>
      <c r="L74" s="9"/>
      <c r="M74" s="9"/>
      <c r="N74" s="9"/>
      <c r="O74" s="9"/>
    </row>
    <row r="75" spans="1:15" x14ac:dyDescent="0.35">
      <c r="A75" s="11"/>
      <c r="B75" s="9"/>
      <c r="C75" s="9"/>
      <c r="D75" s="9"/>
      <c r="E75" s="9"/>
      <c r="F75" s="9"/>
      <c r="G75" s="9"/>
      <c r="H75" s="9"/>
      <c r="I75" s="9"/>
      <c r="J75" s="9"/>
      <c r="K75" s="9"/>
      <c r="L75" s="9"/>
      <c r="M75" s="9"/>
      <c r="N75" s="9"/>
      <c r="O75" s="9"/>
    </row>
    <row r="76" spans="1:15" x14ac:dyDescent="0.35">
      <c r="A76" s="11"/>
      <c r="B76" s="9"/>
      <c r="C76" s="9"/>
      <c r="D76" s="9"/>
      <c r="E76" s="9"/>
      <c r="F76" s="9"/>
      <c r="G76" s="9"/>
      <c r="H76" s="9"/>
      <c r="I76" s="9"/>
      <c r="J76" s="9"/>
      <c r="K76" s="9"/>
      <c r="L76" s="9"/>
      <c r="M76" s="9"/>
      <c r="N76" s="9"/>
      <c r="O76" s="9"/>
    </row>
    <row r="77" spans="1:15" x14ac:dyDescent="0.35">
      <c r="A77" s="11"/>
      <c r="B77" s="9"/>
      <c r="C77" s="9"/>
      <c r="D77" s="9"/>
      <c r="E77" s="9"/>
      <c r="F77" s="9"/>
      <c r="G77" s="9"/>
      <c r="H77" s="9"/>
      <c r="I77" s="9"/>
      <c r="J77" s="9"/>
      <c r="K77" s="9"/>
      <c r="L77" s="9"/>
      <c r="M77" s="9"/>
      <c r="N77" s="9"/>
      <c r="O77" s="9"/>
    </row>
    <row r="78" spans="1:15" x14ac:dyDescent="0.35">
      <c r="A78" s="11"/>
      <c r="B78" s="9"/>
      <c r="C78" s="9"/>
      <c r="D78" s="9"/>
      <c r="E78" s="9"/>
      <c r="F78" s="9"/>
      <c r="G78" s="9"/>
      <c r="H78" s="9"/>
      <c r="I78" s="9"/>
      <c r="J78" s="9"/>
      <c r="K78" s="9"/>
      <c r="L78" s="9"/>
      <c r="M78" s="9"/>
      <c r="N78" s="9"/>
      <c r="O78" s="9"/>
    </row>
    <row r="79" spans="1:15" x14ac:dyDescent="0.35">
      <c r="A79" s="11"/>
      <c r="B79" s="9"/>
      <c r="C79" s="9"/>
      <c r="D79" s="9"/>
      <c r="E79" s="9"/>
      <c r="F79" s="9"/>
      <c r="G79" s="9"/>
      <c r="H79" s="9"/>
      <c r="I79" s="9"/>
      <c r="J79" s="9"/>
      <c r="K79" s="9"/>
      <c r="L79" s="9"/>
      <c r="M79" s="9"/>
      <c r="N79" s="9"/>
      <c r="O79" s="9"/>
    </row>
    <row r="80" spans="1:15" x14ac:dyDescent="0.35">
      <c r="A80" s="11"/>
      <c r="B80" s="9"/>
      <c r="C80" s="9"/>
      <c r="D80" s="9"/>
      <c r="E80" s="9"/>
      <c r="F80" s="9"/>
      <c r="G80" s="9"/>
      <c r="H80" s="9"/>
      <c r="I80" s="9"/>
      <c r="J80" s="9"/>
      <c r="K80" s="9"/>
      <c r="L80" s="9"/>
      <c r="M80" s="9"/>
      <c r="N80" s="9"/>
      <c r="O80" s="9"/>
    </row>
    <row r="81" spans="1:15" x14ac:dyDescent="0.35">
      <c r="A81" s="11"/>
      <c r="B81" s="9"/>
      <c r="C81" s="9"/>
      <c r="D81" s="9"/>
      <c r="E81" s="9"/>
      <c r="F81" s="9"/>
      <c r="G81" s="9"/>
      <c r="H81" s="9"/>
      <c r="I81" s="9"/>
      <c r="J81" s="9"/>
      <c r="K81" s="9"/>
      <c r="L81" s="9"/>
      <c r="M81" s="9"/>
      <c r="N81" s="9"/>
      <c r="O81" s="9"/>
    </row>
    <row r="82" spans="1:15" x14ac:dyDescent="0.35">
      <c r="A82" s="11"/>
      <c r="B82" s="9"/>
      <c r="C82" s="9"/>
      <c r="D82" s="9"/>
      <c r="E82" s="9"/>
      <c r="F82" s="9"/>
      <c r="G82" s="9"/>
      <c r="H82" s="9"/>
      <c r="I82" s="9"/>
      <c r="J82" s="9"/>
      <c r="K82" s="9"/>
      <c r="L82" s="9"/>
      <c r="M82" s="9"/>
      <c r="N82" s="9"/>
      <c r="O82" s="9"/>
    </row>
    <row r="83" spans="1:15" x14ac:dyDescent="0.35">
      <c r="A83" s="11"/>
      <c r="B83" s="9"/>
      <c r="C83" s="9"/>
      <c r="D83" s="9"/>
      <c r="E83" s="9"/>
      <c r="F83" s="9"/>
      <c r="G83" s="9"/>
      <c r="H83" s="9"/>
      <c r="I83" s="9"/>
      <c r="J83" s="9"/>
      <c r="K83" s="9"/>
      <c r="L83" s="9"/>
      <c r="M83" s="9"/>
      <c r="N83" s="9"/>
      <c r="O83" s="9"/>
    </row>
    <row r="84" spans="1:15" x14ac:dyDescent="0.35">
      <c r="A84" s="11"/>
      <c r="B84" s="9"/>
      <c r="C84" s="9"/>
      <c r="D84" s="9"/>
      <c r="E84" s="9"/>
      <c r="F84" s="9"/>
      <c r="G84" s="9"/>
      <c r="H84" s="9"/>
      <c r="I84" s="9"/>
      <c r="J84" s="9"/>
      <c r="K84" s="9"/>
      <c r="L84" s="9"/>
      <c r="M84" s="9"/>
      <c r="N84" s="9"/>
      <c r="O84" s="9"/>
    </row>
    <row r="85" spans="1:15" x14ac:dyDescent="0.35">
      <c r="A85" s="11"/>
      <c r="B85" s="9"/>
      <c r="C85" s="9"/>
      <c r="D85" s="9"/>
      <c r="E85" s="9"/>
      <c r="F85" s="9"/>
      <c r="G85" s="9"/>
      <c r="H85" s="9"/>
      <c r="I85" s="9"/>
      <c r="J85" s="9"/>
      <c r="K85" s="9"/>
      <c r="L85" s="9"/>
      <c r="M85" s="9"/>
      <c r="N85" s="9"/>
      <c r="O85" s="9"/>
    </row>
    <row r="86" spans="1:15" x14ac:dyDescent="0.35">
      <c r="A86" s="11"/>
      <c r="B86" s="9"/>
      <c r="C86" s="9"/>
      <c r="D86" s="9"/>
      <c r="E86" s="9"/>
      <c r="F86" s="9"/>
      <c r="G86" s="9"/>
      <c r="H86" s="9"/>
      <c r="I86" s="9"/>
      <c r="J86" s="9"/>
      <c r="K86" s="9"/>
      <c r="L86" s="9"/>
      <c r="M86" s="9"/>
      <c r="N86" s="9"/>
      <c r="O86" s="9"/>
    </row>
    <row r="87" spans="1:15" x14ac:dyDescent="0.35">
      <c r="A87" s="11"/>
      <c r="B87" s="9"/>
      <c r="C87" s="9"/>
      <c r="D87" s="9"/>
      <c r="E87" s="9"/>
      <c r="F87" s="9"/>
      <c r="G87" s="9"/>
      <c r="H87" s="9"/>
      <c r="I87" s="9"/>
      <c r="J87" s="9"/>
      <c r="K87" s="9"/>
      <c r="L87" s="9"/>
      <c r="M87" s="9"/>
      <c r="N87" s="9"/>
      <c r="O87" s="9"/>
    </row>
    <row r="88" spans="1:15" x14ac:dyDescent="0.35">
      <c r="A88" s="11"/>
      <c r="B88" s="9"/>
      <c r="C88" s="9"/>
      <c r="D88" s="9"/>
      <c r="E88" s="9"/>
      <c r="F88" s="9"/>
      <c r="G88" s="9"/>
      <c r="H88" s="9"/>
      <c r="I88" s="9"/>
      <c r="J88" s="9"/>
      <c r="K88" s="9"/>
      <c r="L88" s="9"/>
      <c r="M88" s="9"/>
      <c r="N88" s="9"/>
      <c r="O88" s="9"/>
    </row>
    <row r="89" spans="1:15" x14ac:dyDescent="0.35">
      <c r="A89" s="11"/>
      <c r="B89" s="9"/>
      <c r="C89" s="9"/>
      <c r="D89" s="9"/>
      <c r="E89" s="9"/>
      <c r="F89" s="9"/>
      <c r="G89" s="9"/>
      <c r="H89" s="9"/>
      <c r="I89" s="9"/>
      <c r="J89" s="9"/>
      <c r="K89" s="9"/>
      <c r="L89" s="9"/>
      <c r="M89" s="9"/>
      <c r="N89" s="9"/>
      <c r="O89" s="9"/>
    </row>
    <row r="90" spans="1:15" x14ac:dyDescent="0.35">
      <c r="A90" s="11"/>
      <c r="B90" s="9"/>
      <c r="C90" s="9"/>
      <c r="D90" s="9"/>
      <c r="E90" s="9"/>
      <c r="F90" s="9"/>
      <c r="G90" s="9"/>
      <c r="H90" s="9"/>
      <c r="I90" s="9"/>
      <c r="J90" s="9"/>
      <c r="K90" s="9"/>
      <c r="L90" s="9"/>
      <c r="M90" s="9"/>
      <c r="N90" s="9"/>
      <c r="O90" s="9"/>
    </row>
    <row r="91" spans="1:15" x14ac:dyDescent="0.35">
      <c r="A91" s="11"/>
      <c r="B91" s="9"/>
      <c r="C91" s="9"/>
      <c r="D91" s="9"/>
      <c r="E91" s="9"/>
      <c r="F91" s="9"/>
      <c r="G91" s="9"/>
      <c r="H91" s="9"/>
      <c r="I91" s="9"/>
      <c r="J91" s="9"/>
      <c r="K91" s="9"/>
      <c r="L91" s="9"/>
      <c r="M91" s="9"/>
      <c r="N91" s="9"/>
      <c r="O91" s="9"/>
    </row>
    <row r="92" spans="1:15" x14ac:dyDescent="0.35">
      <c r="A92" s="11"/>
      <c r="B92" s="9"/>
      <c r="C92" s="9"/>
      <c r="D92" s="9"/>
      <c r="E92" s="9"/>
      <c r="F92" s="9"/>
      <c r="G92" s="9"/>
      <c r="H92" s="9"/>
      <c r="I92" s="9"/>
      <c r="J92" s="9"/>
      <c r="K92" s="9"/>
      <c r="L92" s="9"/>
      <c r="M92" s="9"/>
      <c r="N92" s="9"/>
      <c r="O92" s="9"/>
    </row>
    <row r="93" spans="1:15" x14ac:dyDescent="0.35">
      <c r="A93" s="11"/>
      <c r="B93" s="9"/>
      <c r="C93" s="9"/>
      <c r="D93" s="9"/>
      <c r="E93" s="9"/>
      <c r="F93" s="9"/>
      <c r="G93" s="9"/>
      <c r="H93" s="9"/>
      <c r="I93" s="9"/>
      <c r="J93" s="9"/>
      <c r="K93" s="9"/>
      <c r="L93" s="9"/>
      <c r="M93" s="9"/>
      <c r="N93" s="9"/>
      <c r="O93" s="9"/>
    </row>
    <row r="94" spans="1:15" x14ac:dyDescent="0.35">
      <c r="A94" s="11"/>
      <c r="B94" s="9"/>
      <c r="C94" s="9"/>
      <c r="D94" s="9"/>
      <c r="E94" s="9"/>
      <c r="F94" s="9"/>
      <c r="G94" s="9"/>
      <c r="H94" s="9"/>
      <c r="I94" s="9"/>
      <c r="J94" s="9"/>
      <c r="K94" s="9"/>
      <c r="L94" s="9"/>
      <c r="M94" s="9"/>
      <c r="N94" s="9"/>
      <c r="O94" s="9"/>
    </row>
    <row r="95" spans="1:15" x14ac:dyDescent="0.35">
      <c r="A95" s="11"/>
      <c r="B95" s="9"/>
      <c r="C95" s="9"/>
      <c r="D95" s="9"/>
      <c r="E95" s="9"/>
      <c r="F95" s="9"/>
      <c r="G95" s="9"/>
      <c r="H95" s="9"/>
      <c r="I95" s="9"/>
      <c r="J95" s="9"/>
      <c r="K95" s="9"/>
      <c r="L95" s="9"/>
      <c r="M95" s="9"/>
      <c r="N95" s="9"/>
      <c r="O95" s="9"/>
    </row>
    <row r="96" spans="1:15" x14ac:dyDescent="0.35">
      <c r="A96" s="11"/>
      <c r="B96" s="9"/>
      <c r="C96" s="9"/>
      <c r="D96" s="9"/>
      <c r="E96" s="9"/>
      <c r="F96" s="9"/>
      <c r="G96" s="9"/>
      <c r="H96" s="9"/>
      <c r="I96" s="9"/>
      <c r="J96" s="9"/>
      <c r="K96" s="9"/>
      <c r="L96" s="9"/>
      <c r="M96" s="9"/>
      <c r="N96" s="9"/>
      <c r="O96" s="9"/>
    </row>
    <row r="97" spans="1:15" x14ac:dyDescent="0.35">
      <c r="A97" s="11"/>
      <c r="B97" s="9"/>
      <c r="C97" s="9"/>
      <c r="D97" s="9"/>
      <c r="E97" s="9"/>
      <c r="F97" s="9"/>
      <c r="G97" s="9"/>
      <c r="H97" s="9"/>
      <c r="I97" s="9"/>
      <c r="J97" s="9"/>
      <c r="K97" s="9"/>
      <c r="L97" s="9"/>
      <c r="M97" s="9"/>
      <c r="N97" s="9"/>
      <c r="O97" s="9"/>
    </row>
    <row r="98" spans="1:15" x14ac:dyDescent="0.35">
      <c r="A98" s="11"/>
      <c r="B98" s="9"/>
      <c r="C98" s="9"/>
      <c r="D98" s="9"/>
      <c r="E98" s="9"/>
      <c r="F98" s="9"/>
      <c r="G98" s="9"/>
      <c r="H98" s="9"/>
      <c r="I98" s="9"/>
      <c r="J98" s="9"/>
      <c r="K98" s="9"/>
      <c r="L98" s="9"/>
      <c r="M98" s="9"/>
      <c r="N98" s="9"/>
      <c r="O98" s="9"/>
    </row>
    <row r="99" spans="1:15" x14ac:dyDescent="0.35">
      <c r="A99" s="11"/>
      <c r="B99" s="9"/>
      <c r="C99" s="9"/>
      <c r="D99" s="9"/>
      <c r="E99" s="9"/>
      <c r="F99" s="9"/>
      <c r="G99" s="9"/>
      <c r="H99" s="9"/>
      <c r="I99" s="9"/>
      <c r="J99" s="9"/>
      <c r="K99" s="9"/>
      <c r="L99" s="9"/>
      <c r="M99" s="9"/>
      <c r="N99" s="9"/>
      <c r="O99" s="9"/>
    </row>
    <row r="100" spans="1:15" x14ac:dyDescent="0.35">
      <c r="A100" s="11"/>
      <c r="B100" s="9"/>
      <c r="C100" s="9"/>
      <c r="D100" s="9"/>
      <c r="E100" s="9"/>
      <c r="F100" s="9"/>
      <c r="G100" s="9"/>
      <c r="H100" s="9"/>
      <c r="I100" s="9"/>
      <c r="J100" s="9"/>
      <c r="K100" s="9"/>
      <c r="L100" s="9"/>
      <c r="M100" s="9"/>
      <c r="N100" s="9"/>
      <c r="O100" s="9"/>
    </row>
    <row r="101" spans="1:15" x14ac:dyDescent="0.35">
      <c r="A101" s="11"/>
      <c r="B101" s="7"/>
      <c r="C101" s="7"/>
      <c r="D101" s="7"/>
      <c r="E101" s="7"/>
      <c r="F101" s="7"/>
      <c r="G101" s="7"/>
      <c r="H101" s="7"/>
      <c r="I101" s="7"/>
      <c r="J101" s="7"/>
      <c r="K101" s="7"/>
      <c r="L101" s="7"/>
      <c r="M101" s="7"/>
      <c r="N101" s="7"/>
      <c r="O101" s="7"/>
    </row>
    <row r="102" spans="1:15" x14ac:dyDescent="0.35">
      <c r="A102" s="11"/>
      <c r="B102" s="7"/>
      <c r="C102" s="7"/>
      <c r="D102" s="7"/>
      <c r="E102" s="7"/>
      <c r="F102" s="7"/>
      <c r="G102" s="7"/>
      <c r="H102" s="7"/>
      <c r="I102" s="7"/>
      <c r="J102" s="7"/>
      <c r="K102" s="7"/>
      <c r="L102" s="7"/>
      <c r="M102" s="7"/>
      <c r="N102" s="7"/>
      <c r="O102" s="7"/>
    </row>
    <row r="103" spans="1:15" x14ac:dyDescent="0.35">
      <c r="A103" s="11"/>
      <c r="B103" s="7"/>
      <c r="C103" s="7"/>
      <c r="D103" s="7"/>
      <c r="E103" s="7"/>
      <c r="F103" s="7"/>
      <c r="G103" s="7"/>
      <c r="H103" s="7"/>
      <c r="I103" s="7"/>
      <c r="J103" s="7"/>
      <c r="K103" s="7"/>
      <c r="L103" s="7"/>
      <c r="M103" s="7"/>
      <c r="N103" s="7"/>
      <c r="O103" s="7"/>
    </row>
    <row r="104" spans="1:15" x14ac:dyDescent="0.35">
      <c r="A104" s="11"/>
      <c r="B104" s="7"/>
      <c r="C104" s="7"/>
      <c r="D104" s="7"/>
      <c r="E104" s="7"/>
      <c r="F104" s="7"/>
      <c r="G104" s="7"/>
      <c r="H104" s="7"/>
      <c r="I104" s="7"/>
      <c r="J104" s="7"/>
      <c r="K104" s="7"/>
      <c r="L104" s="7"/>
      <c r="M104" s="7"/>
      <c r="N104" s="7"/>
      <c r="O104" s="7"/>
    </row>
    <row r="105" spans="1:15" x14ac:dyDescent="0.35">
      <c r="A105" s="11"/>
      <c r="B105" s="7"/>
      <c r="C105" s="7"/>
      <c r="D105" s="7"/>
      <c r="E105" s="7"/>
      <c r="F105" s="7"/>
      <c r="G105" s="7"/>
      <c r="H105" s="7"/>
      <c r="I105" s="7"/>
      <c r="J105" s="7"/>
      <c r="K105" s="7"/>
      <c r="L105" s="7"/>
      <c r="M105" s="7"/>
      <c r="N105" s="7"/>
      <c r="O105" s="7"/>
    </row>
    <row r="106" spans="1:15" x14ac:dyDescent="0.35">
      <c r="A106" s="11"/>
      <c r="B106" s="7"/>
      <c r="C106" s="7"/>
      <c r="D106" s="7"/>
      <c r="E106" s="7"/>
      <c r="F106" s="7"/>
      <c r="G106" s="7"/>
      <c r="H106" s="7"/>
      <c r="I106" s="7"/>
      <c r="J106" s="7"/>
      <c r="K106" s="7"/>
      <c r="L106" s="7"/>
      <c r="M106" s="7"/>
      <c r="N106" s="7"/>
      <c r="O106" s="7"/>
    </row>
    <row r="107" spans="1:15" x14ac:dyDescent="0.35">
      <c r="A107" s="11"/>
      <c r="B107" s="7"/>
      <c r="C107" s="7"/>
      <c r="D107" s="7"/>
      <c r="E107" s="7"/>
      <c r="F107" s="7"/>
      <c r="G107" s="7"/>
      <c r="H107" s="7"/>
      <c r="I107" s="7"/>
      <c r="J107" s="7"/>
      <c r="K107" s="7"/>
      <c r="L107" s="7"/>
      <c r="M107" s="7"/>
      <c r="N107" s="7"/>
      <c r="O107" s="7"/>
    </row>
    <row r="108" spans="1:15" x14ac:dyDescent="0.35">
      <c r="A108" s="11"/>
      <c r="B108" s="7"/>
      <c r="C108" s="7"/>
      <c r="D108" s="7"/>
      <c r="E108" s="7"/>
      <c r="F108" s="7"/>
      <c r="G108" s="7"/>
      <c r="H108" s="7"/>
      <c r="I108" s="7"/>
      <c r="J108" s="7"/>
      <c r="K108" s="7"/>
      <c r="L108" s="7"/>
      <c r="M108" s="7"/>
      <c r="N108" s="7"/>
      <c r="O108" s="7"/>
    </row>
    <row r="109" spans="1:15" x14ac:dyDescent="0.35">
      <c r="A109" s="11"/>
      <c r="B109" s="7"/>
      <c r="C109" s="7"/>
      <c r="D109" s="7"/>
      <c r="E109" s="7"/>
      <c r="F109" s="7"/>
      <c r="G109" s="7"/>
      <c r="H109" s="7"/>
      <c r="I109" s="7"/>
      <c r="J109" s="7"/>
      <c r="K109" s="7"/>
      <c r="L109" s="7"/>
      <c r="M109" s="7"/>
      <c r="N109" s="7"/>
      <c r="O109" s="7"/>
    </row>
    <row r="110" spans="1:15" x14ac:dyDescent="0.35">
      <c r="A110" s="11"/>
      <c r="B110" s="7"/>
      <c r="C110" s="7"/>
      <c r="D110" s="7"/>
      <c r="E110" s="7"/>
      <c r="F110" s="7"/>
      <c r="G110" s="7"/>
      <c r="H110" s="7"/>
      <c r="I110" s="7"/>
      <c r="J110" s="7"/>
      <c r="K110" s="7"/>
      <c r="L110" s="7"/>
      <c r="M110" s="7"/>
      <c r="N110" s="7"/>
      <c r="O110" s="7"/>
    </row>
    <row r="111" spans="1:15" x14ac:dyDescent="0.35">
      <c r="A111" s="11"/>
      <c r="B111" s="7"/>
      <c r="C111" s="7"/>
      <c r="D111" s="7"/>
      <c r="E111" s="7"/>
      <c r="F111" s="7"/>
      <c r="G111" s="7"/>
      <c r="H111" s="7"/>
      <c r="I111" s="7"/>
      <c r="J111" s="7"/>
      <c r="K111" s="7"/>
      <c r="L111" s="7"/>
      <c r="M111" s="7"/>
      <c r="N111" s="7"/>
      <c r="O111" s="7"/>
    </row>
    <row r="112" spans="1:15" x14ac:dyDescent="0.35">
      <c r="A112" s="11"/>
      <c r="B112" s="7"/>
      <c r="C112" s="7"/>
      <c r="D112" s="7"/>
      <c r="E112" s="7"/>
      <c r="F112" s="7"/>
      <c r="G112" s="7"/>
      <c r="H112" s="7"/>
      <c r="I112" s="7"/>
      <c r="J112" s="7"/>
      <c r="K112" s="7"/>
      <c r="L112" s="7"/>
      <c r="M112" s="7"/>
      <c r="N112" s="7"/>
      <c r="O112" s="7"/>
    </row>
    <row r="113" spans="1:15" x14ac:dyDescent="0.35">
      <c r="A113" s="11"/>
      <c r="B113" s="7"/>
      <c r="C113" s="7"/>
      <c r="D113" s="7"/>
      <c r="E113" s="7"/>
      <c r="F113" s="7"/>
      <c r="G113" s="7"/>
      <c r="H113" s="7"/>
      <c r="I113" s="7"/>
      <c r="J113" s="7"/>
      <c r="K113" s="7"/>
      <c r="L113" s="7"/>
      <c r="M113" s="7"/>
      <c r="N113" s="7"/>
      <c r="O113" s="7"/>
    </row>
    <row r="114" spans="1:15" x14ac:dyDescent="0.35">
      <c r="A114" s="11"/>
      <c r="B114" s="7"/>
      <c r="C114" s="7"/>
      <c r="D114" s="7"/>
      <c r="E114" s="7"/>
      <c r="F114" s="7"/>
      <c r="G114" s="7"/>
      <c r="H114" s="7"/>
      <c r="I114" s="7"/>
      <c r="J114" s="7"/>
      <c r="K114" s="7"/>
      <c r="L114" s="7"/>
      <c r="M114" s="7"/>
      <c r="N114" s="7"/>
      <c r="O114" s="7"/>
    </row>
    <row r="115" spans="1:15" x14ac:dyDescent="0.35">
      <c r="A115" s="11"/>
      <c r="B115" s="7"/>
      <c r="C115" s="7"/>
      <c r="D115" s="7"/>
      <c r="E115" s="7"/>
      <c r="F115" s="7"/>
      <c r="G115" s="7"/>
      <c r="H115" s="7"/>
      <c r="I115" s="7"/>
      <c r="J115" s="7"/>
      <c r="K115" s="7"/>
      <c r="L115" s="7"/>
      <c r="M115" s="7"/>
      <c r="N115" s="7"/>
      <c r="O115" s="7"/>
    </row>
    <row r="116" spans="1:15" x14ac:dyDescent="0.35">
      <c r="A116" s="11"/>
      <c r="B116" s="7"/>
      <c r="C116" s="7"/>
      <c r="D116" s="7"/>
      <c r="E116" s="7"/>
      <c r="F116" s="7"/>
      <c r="G116" s="7"/>
      <c r="H116" s="7"/>
      <c r="I116" s="7"/>
      <c r="J116" s="7"/>
      <c r="K116" s="7"/>
      <c r="L116" s="7"/>
      <c r="M116" s="7"/>
      <c r="N116" s="7"/>
      <c r="O116" s="7"/>
    </row>
    <row r="117" spans="1:15" x14ac:dyDescent="0.35">
      <c r="A117" s="11"/>
      <c r="B117" s="7"/>
      <c r="C117" s="7"/>
      <c r="D117" s="7"/>
      <c r="E117" s="7"/>
      <c r="F117" s="7"/>
      <c r="G117" s="7"/>
      <c r="H117" s="7"/>
      <c r="I117" s="7"/>
      <c r="J117" s="7"/>
      <c r="K117" s="7"/>
      <c r="L117" s="7"/>
      <c r="M117" s="7"/>
      <c r="N117" s="7"/>
      <c r="O117" s="7"/>
    </row>
    <row r="118" spans="1:15" x14ac:dyDescent="0.35">
      <c r="A118" s="11"/>
      <c r="B118" s="7"/>
      <c r="C118" s="7"/>
      <c r="D118" s="7"/>
      <c r="E118" s="7"/>
      <c r="F118" s="7"/>
      <c r="G118" s="7"/>
      <c r="H118" s="7"/>
      <c r="I118" s="7"/>
      <c r="J118" s="7"/>
      <c r="K118" s="7"/>
      <c r="L118" s="7"/>
      <c r="M118" s="7"/>
      <c r="N118" s="7"/>
      <c r="O118" s="7"/>
    </row>
    <row r="119" spans="1:15" x14ac:dyDescent="0.35">
      <c r="A119" s="11"/>
      <c r="B119" s="7"/>
      <c r="C119" s="7"/>
      <c r="D119" s="7"/>
      <c r="E119" s="7"/>
      <c r="F119" s="7"/>
      <c r="G119" s="7"/>
      <c r="H119" s="7"/>
      <c r="I119" s="7"/>
      <c r="J119" s="7"/>
      <c r="K119" s="7"/>
      <c r="L119" s="7"/>
      <c r="M119" s="7"/>
      <c r="N119" s="7"/>
      <c r="O119" s="7"/>
    </row>
    <row r="120" spans="1:15" x14ac:dyDescent="0.35">
      <c r="A120" s="11"/>
      <c r="B120" s="7"/>
      <c r="C120" s="7"/>
      <c r="D120" s="7"/>
      <c r="E120" s="7"/>
      <c r="F120" s="7"/>
      <c r="G120" s="7"/>
      <c r="H120" s="7"/>
      <c r="I120" s="7"/>
      <c r="J120" s="7"/>
      <c r="K120" s="7"/>
      <c r="L120" s="7"/>
      <c r="M120" s="7"/>
      <c r="N120" s="7"/>
      <c r="O120" s="7"/>
    </row>
    <row r="121" spans="1:15" x14ac:dyDescent="0.35">
      <c r="A121" s="11"/>
      <c r="B121" s="7"/>
      <c r="C121" s="7"/>
      <c r="D121" s="7"/>
      <c r="E121" s="7"/>
      <c r="F121" s="7"/>
      <c r="G121" s="7"/>
      <c r="H121" s="7"/>
      <c r="I121" s="7"/>
      <c r="J121" s="7"/>
      <c r="K121" s="7"/>
      <c r="L121" s="7"/>
      <c r="M121" s="7"/>
      <c r="N121" s="7"/>
      <c r="O121" s="7"/>
    </row>
    <row r="122" spans="1:15" x14ac:dyDescent="0.35">
      <c r="A122" s="11"/>
      <c r="B122" s="7"/>
      <c r="C122" s="7"/>
      <c r="D122" s="7"/>
      <c r="E122" s="7"/>
      <c r="F122" s="7"/>
      <c r="G122" s="7"/>
      <c r="H122" s="7"/>
      <c r="I122" s="7"/>
      <c r="J122" s="7"/>
      <c r="K122" s="7"/>
      <c r="L122" s="7"/>
      <c r="M122" s="7"/>
      <c r="N122" s="7"/>
      <c r="O122" s="7"/>
    </row>
    <row r="123" spans="1:15" x14ac:dyDescent="0.35">
      <c r="A123" s="11"/>
      <c r="B123" s="7"/>
      <c r="C123" s="7"/>
      <c r="D123" s="7"/>
      <c r="E123" s="7"/>
      <c r="F123" s="7"/>
      <c r="G123" s="7"/>
      <c r="H123" s="7"/>
      <c r="I123" s="7"/>
      <c r="J123" s="7"/>
      <c r="K123" s="7"/>
      <c r="L123" s="7"/>
      <c r="M123" s="7"/>
      <c r="N123" s="7"/>
      <c r="O123" s="7"/>
    </row>
    <row r="124" spans="1:15" x14ac:dyDescent="0.35">
      <c r="A124" s="11"/>
      <c r="B124" s="7"/>
      <c r="C124" s="7"/>
      <c r="D124" s="7"/>
      <c r="E124" s="7"/>
      <c r="F124" s="7"/>
      <c r="G124" s="7"/>
      <c r="H124" s="7"/>
      <c r="I124" s="7"/>
      <c r="J124" s="7"/>
      <c r="K124" s="7"/>
      <c r="L124" s="7"/>
      <c r="M124" s="7"/>
      <c r="N124" s="7"/>
      <c r="O124" s="7"/>
    </row>
    <row r="125" spans="1:15" x14ac:dyDescent="0.35">
      <c r="A125" s="11"/>
      <c r="B125" s="7"/>
      <c r="C125" s="7"/>
      <c r="D125" s="7"/>
      <c r="E125" s="7"/>
      <c r="F125" s="7"/>
      <c r="G125" s="7"/>
      <c r="H125" s="7"/>
      <c r="I125" s="7"/>
      <c r="J125" s="7"/>
      <c r="K125" s="7"/>
      <c r="L125" s="7"/>
      <c r="M125" s="7"/>
      <c r="N125" s="7"/>
      <c r="O125" s="7"/>
    </row>
    <row r="126" spans="1:15" x14ac:dyDescent="0.35">
      <c r="A126" s="11"/>
      <c r="B126" s="7"/>
      <c r="C126" s="7"/>
      <c r="D126" s="7"/>
      <c r="E126" s="7"/>
      <c r="F126" s="7"/>
      <c r="G126" s="7"/>
      <c r="H126" s="7"/>
      <c r="I126" s="7"/>
      <c r="J126" s="7"/>
      <c r="K126" s="7"/>
      <c r="L126" s="7"/>
      <c r="M126" s="7"/>
      <c r="N126" s="7"/>
      <c r="O126" s="7"/>
    </row>
    <row r="127" spans="1:15" x14ac:dyDescent="0.35">
      <c r="A127" s="11"/>
      <c r="B127" s="7"/>
      <c r="C127" s="7"/>
      <c r="D127" s="7"/>
      <c r="E127" s="7"/>
      <c r="F127" s="7"/>
      <c r="G127" s="7"/>
      <c r="H127" s="7"/>
      <c r="I127" s="7"/>
      <c r="J127" s="7"/>
      <c r="K127" s="7"/>
      <c r="L127" s="7"/>
      <c r="M127" s="7"/>
      <c r="N127" s="7"/>
      <c r="O127" s="7"/>
    </row>
    <row r="128" spans="1:15" x14ac:dyDescent="0.35">
      <c r="A128" s="11"/>
      <c r="B128" s="7"/>
      <c r="C128" s="7"/>
      <c r="D128" s="7"/>
      <c r="E128" s="7"/>
      <c r="F128" s="7"/>
      <c r="G128" s="7"/>
      <c r="H128" s="7"/>
      <c r="I128" s="7"/>
      <c r="J128" s="7"/>
      <c r="K128" s="7"/>
      <c r="L128" s="7"/>
      <c r="M128" s="7"/>
      <c r="N128" s="7"/>
      <c r="O128" s="7"/>
    </row>
    <row r="129" spans="1:15" x14ac:dyDescent="0.35">
      <c r="A129" s="11"/>
      <c r="B129" s="7"/>
      <c r="C129" s="7"/>
      <c r="D129" s="7"/>
      <c r="E129" s="7"/>
      <c r="F129" s="7"/>
      <c r="G129" s="7"/>
      <c r="H129" s="7"/>
      <c r="I129" s="7"/>
      <c r="J129" s="7"/>
      <c r="K129" s="7"/>
      <c r="L129" s="7"/>
      <c r="M129" s="7"/>
      <c r="N129" s="7"/>
      <c r="O129" s="7"/>
    </row>
    <row r="130" spans="1:15" x14ac:dyDescent="0.35">
      <c r="A130" s="11"/>
      <c r="B130" s="7"/>
      <c r="C130" s="7"/>
      <c r="D130" s="7"/>
      <c r="E130" s="7"/>
      <c r="F130" s="7"/>
      <c r="G130" s="7"/>
      <c r="H130" s="7"/>
      <c r="I130" s="7"/>
      <c r="J130" s="7"/>
      <c r="K130" s="7"/>
      <c r="L130" s="7"/>
      <c r="M130" s="7"/>
      <c r="N130" s="7"/>
      <c r="O130" s="7"/>
    </row>
    <row r="131" spans="1:15" x14ac:dyDescent="0.35">
      <c r="A131" s="11"/>
      <c r="B131" s="7"/>
      <c r="C131" s="7"/>
      <c r="D131" s="7"/>
      <c r="E131" s="7"/>
      <c r="F131" s="7"/>
      <c r="G131" s="7"/>
      <c r="H131" s="7"/>
      <c r="I131" s="7"/>
      <c r="J131" s="7"/>
      <c r="K131" s="7"/>
      <c r="L131" s="7"/>
      <c r="M131" s="7"/>
      <c r="N131" s="7"/>
      <c r="O131" s="7"/>
    </row>
    <row r="132" spans="1:15" x14ac:dyDescent="0.35">
      <c r="A132" s="11"/>
      <c r="B132" s="7"/>
      <c r="C132" s="7"/>
      <c r="D132" s="7"/>
      <c r="E132" s="7"/>
      <c r="F132" s="7"/>
      <c r="G132" s="7"/>
      <c r="H132" s="7"/>
      <c r="I132" s="7"/>
      <c r="J132" s="7"/>
      <c r="K132" s="7"/>
      <c r="L132" s="7"/>
      <c r="M132" s="7"/>
      <c r="N132" s="7"/>
      <c r="O132" s="7"/>
    </row>
    <row r="133" spans="1:15" x14ac:dyDescent="0.35">
      <c r="A133" s="11"/>
      <c r="B133" s="7"/>
      <c r="C133" s="7"/>
      <c r="D133" s="7"/>
      <c r="E133" s="7"/>
      <c r="F133" s="7"/>
      <c r="G133" s="7"/>
      <c r="H133" s="7"/>
      <c r="I133" s="7"/>
      <c r="J133" s="7"/>
      <c r="K133" s="7"/>
      <c r="L133" s="7"/>
      <c r="M133" s="7"/>
      <c r="N133" s="7"/>
      <c r="O133" s="7"/>
    </row>
    <row r="134" spans="1:15" x14ac:dyDescent="0.35">
      <c r="A134" s="11"/>
      <c r="B134" s="7"/>
      <c r="C134" s="7"/>
      <c r="D134" s="7"/>
      <c r="E134" s="7"/>
      <c r="F134" s="7"/>
      <c r="G134" s="7"/>
      <c r="H134" s="7"/>
      <c r="I134" s="7"/>
      <c r="J134" s="7"/>
      <c r="K134" s="7"/>
      <c r="L134" s="7"/>
      <c r="M134" s="7"/>
      <c r="N134" s="7"/>
      <c r="O134" s="7"/>
    </row>
    <row r="135" spans="1:15" x14ac:dyDescent="0.35">
      <c r="A135" s="11"/>
      <c r="B135" s="7"/>
      <c r="C135" s="7"/>
      <c r="D135" s="7"/>
      <c r="E135" s="7"/>
      <c r="F135" s="7"/>
      <c r="G135" s="7"/>
      <c r="H135" s="7"/>
      <c r="I135" s="7"/>
      <c r="J135" s="7"/>
      <c r="K135" s="7"/>
      <c r="L135" s="7"/>
      <c r="M135" s="7"/>
      <c r="N135" s="7"/>
      <c r="O135" s="7"/>
    </row>
    <row r="136" spans="1:15" x14ac:dyDescent="0.35">
      <c r="A136" s="11"/>
      <c r="B136" s="7"/>
      <c r="C136" s="7"/>
      <c r="D136" s="7"/>
      <c r="E136" s="7"/>
      <c r="F136" s="7"/>
      <c r="G136" s="7"/>
      <c r="H136" s="7"/>
      <c r="I136" s="7"/>
      <c r="J136" s="7"/>
      <c r="K136" s="7"/>
      <c r="L136" s="7"/>
      <c r="M136" s="7"/>
      <c r="N136" s="7"/>
      <c r="O136" s="7"/>
    </row>
    <row r="137" spans="1:15" x14ac:dyDescent="0.35">
      <c r="A137" s="11"/>
      <c r="B137" s="7"/>
      <c r="C137" s="7"/>
      <c r="D137" s="7"/>
      <c r="E137" s="7"/>
      <c r="F137" s="7"/>
      <c r="G137" s="7"/>
      <c r="H137" s="7"/>
      <c r="I137" s="7"/>
      <c r="J137" s="7"/>
      <c r="K137" s="7"/>
      <c r="L137" s="7"/>
      <c r="M137" s="7"/>
      <c r="N137" s="7"/>
      <c r="O137" s="7"/>
    </row>
    <row r="138" spans="1:15" x14ac:dyDescent="0.35">
      <c r="A138" s="11"/>
      <c r="B138" s="7"/>
      <c r="C138" s="7"/>
      <c r="D138" s="7"/>
      <c r="E138" s="7"/>
      <c r="F138" s="7"/>
      <c r="G138" s="7"/>
      <c r="H138" s="7"/>
      <c r="I138" s="7"/>
      <c r="J138" s="7"/>
      <c r="K138" s="7"/>
      <c r="L138" s="7"/>
      <c r="M138" s="7"/>
      <c r="N138" s="7"/>
      <c r="O138" s="7"/>
    </row>
    <row r="139" spans="1:15" x14ac:dyDescent="0.35">
      <c r="A139" s="11"/>
      <c r="B139" s="7"/>
      <c r="C139" s="7"/>
      <c r="D139" s="7"/>
      <c r="E139" s="7"/>
      <c r="F139" s="7"/>
      <c r="G139" s="7"/>
      <c r="H139" s="7"/>
      <c r="I139" s="7"/>
      <c r="J139" s="7"/>
      <c r="K139" s="7"/>
      <c r="L139" s="7"/>
      <c r="M139" s="7"/>
      <c r="N139" s="7"/>
      <c r="O139" s="7"/>
    </row>
    <row r="140" spans="1:15" x14ac:dyDescent="0.35">
      <c r="A140" s="11"/>
      <c r="B140" s="7"/>
      <c r="C140" s="7"/>
      <c r="D140" s="7"/>
      <c r="E140" s="7"/>
      <c r="F140" s="7"/>
      <c r="G140" s="7"/>
      <c r="H140" s="7"/>
      <c r="I140" s="7"/>
      <c r="J140" s="7"/>
      <c r="K140" s="7"/>
      <c r="L140" s="7"/>
      <c r="M140" s="7"/>
      <c r="N140" s="7"/>
      <c r="O140" s="7"/>
    </row>
    <row r="141" spans="1:15" x14ac:dyDescent="0.35">
      <c r="A141" s="11"/>
      <c r="B141" s="7"/>
      <c r="C141" s="7"/>
      <c r="D141" s="7"/>
      <c r="E141" s="7"/>
      <c r="F141" s="7"/>
      <c r="G141" s="7"/>
      <c r="H141" s="7"/>
      <c r="I141" s="7"/>
      <c r="J141" s="7"/>
      <c r="K141" s="7"/>
      <c r="L141" s="7"/>
      <c r="M141" s="7"/>
      <c r="N141" s="7"/>
      <c r="O141" s="7"/>
    </row>
    <row r="142" spans="1:15" x14ac:dyDescent="0.35">
      <c r="A142" s="11"/>
      <c r="B142" s="7"/>
      <c r="C142" s="7"/>
      <c r="D142" s="7"/>
      <c r="E142" s="7"/>
      <c r="F142" s="7"/>
      <c r="G142" s="7"/>
      <c r="H142" s="7"/>
      <c r="I142" s="7"/>
      <c r="J142" s="7"/>
      <c r="K142" s="7"/>
      <c r="L142" s="7"/>
      <c r="M142" s="7"/>
      <c r="N142" s="7"/>
      <c r="O142" s="7"/>
    </row>
    <row r="143" spans="1:15" x14ac:dyDescent="0.35">
      <c r="A143" s="11"/>
      <c r="B143" s="7"/>
      <c r="C143" s="7"/>
      <c r="D143" s="7"/>
      <c r="E143" s="7"/>
      <c r="F143" s="7"/>
      <c r="G143" s="7"/>
      <c r="H143" s="7"/>
      <c r="I143" s="7"/>
      <c r="J143" s="7"/>
      <c r="K143" s="7"/>
      <c r="L143" s="7"/>
      <c r="M143" s="7"/>
      <c r="N143" s="7"/>
      <c r="O143" s="7"/>
    </row>
    <row r="144" spans="1:15" x14ac:dyDescent="0.35">
      <c r="A144" s="11"/>
      <c r="B144" s="7"/>
      <c r="C144" s="7"/>
      <c r="D144" s="7"/>
      <c r="E144" s="7"/>
      <c r="F144" s="7"/>
      <c r="G144" s="7"/>
      <c r="H144" s="7"/>
      <c r="I144" s="7"/>
      <c r="J144" s="7"/>
      <c r="K144" s="7"/>
      <c r="L144" s="7"/>
      <c r="M144" s="7"/>
      <c r="N144" s="7"/>
      <c r="O144" s="7"/>
    </row>
    <row r="145" spans="1:15" x14ac:dyDescent="0.35">
      <c r="A145" s="11"/>
      <c r="B145" s="7"/>
      <c r="C145" s="7"/>
      <c r="D145" s="7"/>
      <c r="E145" s="7"/>
      <c r="F145" s="7"/>
      <c r="G145" s="7"/>
      <c r="H145" s="7"/>
      <c r="I145" s="7"/>
      <c r="J145" s="7"/>
      <c r="K145" s="7"/>
      <c r="L145" s="7"/>
      <c r="M145" s="7"/>
      <c r="N145" s="7"/>
      <c r="O145" s="7"/>
    </row>
    <row r="146" spans="1:15" x14ac:dyDescent="0.35">
      <c r="A146" s="11"/>
      <c r="B146" s="7"/>
      <c r="C146" s="7"/>
      <c r="D146" s="7"/>
      <c r="E146" s="7"/>
      <c r="F146" s="7"/>
      <c r="G146" s="7"/>
      <c r="H146" s="7"/>
      <c r="I146" s="7"/>
      <c r="J146" s="7"/>
      <c r="K146" s="7"/>
      <c r="L146" s="7"/>
      <c r="M146" s="7"/>
      <c r="N146" s="7"/>
      <c r="O146" s="7"/>
    </row>
    <row r="147" spans="1:15" x14ac:dyDescent="0.35">
      <c r="A147" s="11"/>
      <c r="B147" s="7"/>
      <c r="C147" s="7"/>
      <c r="D147" s="7"/>
      <c r="E147" s="7"/>
      <c r="F147" s="7"/>
      <c r="G147" s="7"/>
      <c r="H147" s="7"/>
      <c r="I147" s="7"/>
      <c r="J147" s="7"/>
      <c r="K147" s="7"/>
      <c r="L147" s="7"/>
      <c r="M147" s="7"/>
      <c r="N147" s="7"/>
      <c r="O147" s="7"/>
    </row>
    <row r="148" spans="1:15" x14ac:dyDescent="0.35">
      <c r="A148" s="11"/>
      <c r="B148" s="7"/>
      <c r="C148" s="7"/>
      <c r="D148" s="7"/>
      <c r="E148" s="7"/>
      <c r="F148" s="7"/>
      <c r="G148" s="7"/>
      <c r="H148" s="7"/>
      <c r="I148" s="7"/>
      <c r="J148" s="7"/>
      <c r="K148" s="7"/>
      <c r="L148" s="7"/>
      <c r="M148" s="7"/>
      <c r="N148" s="7"/>
      <c r="O148" s="7"/>
    </row>
    <row r="149" spans="1:15" x14ac:dyDescent="0.35">
      <c r="A149" s="11"/>
      <c r="B149" s="7"/>
      <c r="C149" s="7"/>
      <c r="D149" s="7"/>
      <c r="E149" s="7"/>
      <c r="F149" s="7"/>
      <c r="G149" s="7"/>
      <c r="H149" s="7"/>
      <c r="I149" s="7"/>
      <c r="J149" s="7"/>
      <c r="K149" s="7"/>
      <c r="L149" s="7"/>
      <c r="M149" s="7"/>
      <c r="N149" s="7"/>
      <c r="O149" s="7"/>
    </row>
    <row r="150" spans="1:15" x14ac:dyDescent="0.35">
      <c r="A150" s="11"/>
      <c r="B150" s="7"/>
      <c r="C150" s="7"/>
      <c r="D150" s="7"/>
      <c r="E150" s="7"/>
      <c r="F150" s="7"/>
      <c r="G150" s="7"/>
      <c r="H150" s="7"/>
      <c r="I150" s="7"/>
      <c r="J150" s="7"/>
      <c r="K150" s="7"/>
      <c r="L150" s="7"/>
      <c r="M150" s="7"/>
      <c r="N150" s="7"/>
      <c r="O150" s="7"/>
    </row>
    <row r="151" spans="1:15" x14ac:dyDescent="0.35">
      <c r="A151" s="11"/>
      <c r="B151" s="7"/>
      <c r="C151" s="7"/>
      <c r="D151" s="7"/>
      <c r="E151" s="7"/>
      <c r="F151" s="7"/>
      <c r="G151" s="7"/>
      <c r="H151" s="7"/>
      <c r="I151" s="7"/>
      <c r="J151" s="7"/>
      <c r="K151" s="7"/>
      <c r="L151" s="7"/>
      <c r="M151" s="7"/>
      <c r="N151" s="7"/>
      <c r="O151" s="7"/>
    </row>
    <row r="152" spans="1:15" x14ac:dyDescent="0.35">
      <c r="A152" s="11"/>
      <c r="B152" s="7"/>
      <c r="C152" s="7"/>
      <c r="D152" s="7"/>
      <c r="E152" s="7"/>
      <c r="F152" s="7"/>
      <c r="G152" s="7"/>
      <c r="H152" s="7"/>
      <c r="I152" s="7"/>
      <c r="J152" s="7"/>
      <c r="K152" s="7"/>
      <c r="L152" s="7"/>
      <c r="M152" s="7"/>
      <c r="N152" s="7"/>
      <c r="O152" s="7"/>
    </row>
    <row r="153" spans="1:15" x14ac:dyDescent="0.35">
      <c r="A153" s="11"/>
      <c r="B153" s="7"/>
      <c r="C153" s="7"/>
      <c r="D153" s="7"/>
      <c r="E153" s="7"/>
      <c r="F153" s="7"/>
      <c r="G153" s="7"/>
      <c r="H153" s="7"/>
      <c r="I153" s="7"/>
      <c r="J153" s="7"/>
      <c r="K153" s="7"/>
      <c r="L153" s="7"/>
      <c r="M153" s="7"/>
      <c r="N153" s="7"/>
      <c r="O153" s="7"/>
    </row>
    <row r="154" spans="1:15" x14ac:dyDescent="0.35">
      <c r="A154" s="11"/>
      <c r="B154" s="7"/>
      <c r="C154" s="7"/>
      <c r="D154" s="7"/>
      <c r="E154" s="7"/>
      <c r="F154" s="7"/>
      <c r="G154" s="7"/>
      <c r="H154" s="7"/>
      <c r="I154" s="7"/>
      <c r="J154" s="7"/>
      <c r="K154" s="7"/>
      <c r="L154" s="7"/>
      <c r="M154" s="7"/>
      <c r="N154" s="7"/>
      <c r="O154" s="7"/>
    </row>
    <row r="155" spans="1:15" x14ac:dyDescent="0.35">
      <c r="A155" s="11"/>
      <c r="B155" s="7"/>
      <c r="C155" s="7"/>
      <c r="D155" s="7"/>
      <c r="E155" s="7"/>
      <c r="F155" s="7"/>
      <c r="G155" s="7"/>
      <c r="H155" s="7"/>
      <c r="I155" s="7"/>
      <c r="J155" s="7"/>
      <c r="K155" s="7"/>
      <c r="L155" s="7"/>
      <c r="M155" s="7"/>
      <c r="N155" s="7"/>
      <c r="O155" s="7"/>
    </row>
    <row r="156" spans="1:15" x14ac:dyDescent="0.35">
      <c r="A156" s="11"/>
      <c r="B156" s="7"/>
      <c r="C156" s="7"/>
      <c r="D156" s="7"/>
      <c r="E156" s="7"/>
      <c r="F156" s="7"/>
      <c r="G156" s="7"/>
      <c r="H156" s="7"/>
      <c r="I156" s="7"/>
      <c r="J156" s="7"/>
      <c r="K156" s="7"/>
      <c r="L156" s="7"/>
      <c r="M156" s="7"/>
      <c r="N156" s="7"/>
      <c r="O156" s="7"/>
    </row>
    <row r="157" spans="1:15" x14ac:dyDescent="0.35">
      <c r="A157" s="11"/>
      <c r="B157" s="7"/>
      <c r="C157" s="7"/>
      <c r="D157" s="7"/>
      <c r="E157" s="7"/>
      <c r="F157" s="7"/>
      <c r="G157" s="7"/>
      <c r="H157" s="7"/>
      <c r="I157" s="7"/>
      <c r="J157" s="7"/>
      <c r="K157" s="7"/>
      <c r="L157" s="7"/>
      <c r="M157" s="7"/>
      <c r="N157" s="7"/>
      <c r="O157" s="7"/>
    </row>
    <row r="158" spans="1:15" x14ac:dyDescent="0.35">
      <c r="A158" s="11"/>
      <c r="B158" s="7"/>
      <c r="C158" s="7"/>
      <c r="D158" s="7"/>
      <c r="E158" s="7"/>
      <c r="F158" s="7"/>
      <c r="G158" s="7"/>
      <c r="H158" s="7"/>
      <c r="I158" s="7"/>
      <c r="J158" s="7"/>
      <c r="K158" s="7"/>
      <c r="L158" s="7"/>
      <c r="M158" s="7"/>
      <c r="N158" s="7"/>
      <c r="O158" s="7"/>
    </row>
    <row r="159" spans="1:15" x14ac:dyDescent="0.35">
      <c r="A159" s="11"/>
      <c r="B159" s="7"/>
      <c r="C159" s="7"/>
      <c r="D159" s="7"/>
      <c r="E159" s="7"/>
      <c r="F159" s="7"/>
      <c r="G159" s="7"/>
      <c r="H159" s="7"/>
      <c r="I159" s="7"/>
      <c r="J159" s="7"/>
      <c r="K159" s="7"/>
      <c r="L159" s="7"/>
      <c r="M159" s="7"/>
      <c r="N159" s="7"/>
      <c r="O159" s="7"/>
    </row>
    <row r="160" spans="1:15" x14ac:dyDescent="0.35">
      <c r="A160" s="11"/>
      <c r="B160" s="7"/>
      <c r="C160" s="7"/>
      <c r="D160" s="7"/>
      <c r="E160" s="7"/>
      <c r="F160" s="7"/>
      <c r="G160" s="7"/>
      <c r="H160" s="7"/>
      <c r="I160" s="7"/>
      <c r="J160" s="7"/>
      <c r="K160" s="7"/>
      <c r="L160" s="7"/>
      <c r="M160" s="7"/>
      <c r="N160" s="7"/>
      <c r="O160" s="7"/>
    </row>
    <row r="161" spans="1:15" x14ac:dyDescent="0.35">
      <c r="A161" s="11"/>
      <c r="B161" s="7"/>
      <c r="C161" s="7"/>
      <c r="D161" s="7"/>
      <c r="E161" s="7"/>
      <c r="F161" s="7"/>
      <c r="G161" s="7"/>
      <c r="H161" s="7"/>
      <c r="I161" s="7"/>
      <c r="J161" s="7"/>
      <c r="K161" s="7"/>
      <c r="L161" s="7"/>
      <c r="M161" s="7"/>
      <c r="N161" s="7"/>
      <c r="O161" s="7"/>
    </row>
    <row r="162" spans="1:15" x14ac:dyDescent="0.35">
      <c r="A162" s="11"/>
      <c r="B162" s="7"/>
      <c r="C162" s="7"/>
      <c r="D162" s="7"/>
      <c r="E162" s="7"/>
      <c r="F162" s="7"/>
      <c r="G162" s="7"/>
      <c r="H162" s="7"/>
      <c r="I162" s="7"/>
      <c r="J162" s="7"/>
      <c r="K162" s="7"/>
      <c r="L162" s="7"/>
      <c r="M162" s="7"/>
      <c r="N162" s="7"/>
      <c r="O162" s="7"/>
    </row>
    <row r="163" spans="1:15" x14ac:dyDescent="0.35">
      <c r="A163" s="11"/>
      <c r="B163" s="7"/>
      <c r="C163" s="7"/>
      <c r="D163" s="7"/>
      <c r="E163" s="7"/>
      <c r="F163" s="7"/>
      <c r="G163" s="7"/>
      <c r="H163" s="7"/>
      <c r="I163" s="7"/>
      <c r="J163" s="7"/>
      <c r="K163" s="7"/>
      <c r="L163" s="7"/>
      <c r="M163" s="7"/>
      <c r="N163" s="7"/>
      <c r="O163" s="7"/>
    </row>
    <row r="164" spans="1:15" x14ac:dyDescent="0.35">
      <c r="A164" s="11"/>
      <c r="B164" s="7"/>
      <c r="C164" s="7"/>
      <c r="D164" s="7"/>
      <c r="E164" s="7"/>
      <c r="F164" s="7"/>
      <c r="G164" s="7"/>
      <c r="H164" s="7"/>
      <c r="I164" s="7"/>
      <c r="J164" s="7"/>
      <c r="K164" s="7"/>
      <c r="L164" s="7"/>
      <c r="M164" s="7"/>
      <c r="N164" s="7"/>
      <c r="O164" s="7"/>
    </row>
    <row r="165" spans="1:15" x14ac:dyDescent="0.35">
      <c r="A165" s="11"/>
      <c r="B165" s="7"/>
      <c r="C165" s="7"/>
      <c r="D165" s="7"/>
      <c r="E165" s="7"/>
      <c r="F165" s="7"/>
      <c r="G165" s="7"/>
      <c r="H165" s="7"/>
      <c r="I165" s="7"/>
      <c r="J165" s="7"/>
      <c r="K165" s="7"/>
      <c r="L165" s="7"/>
      <c r="M165" s="7"/>
      <c r="N165" s="7"/>
      <c r="O165" s="7"/>
    </row>
    <row r="166" spans="1:15" x14ac:dyDescent="0.35">
      <c r="A166" s="11"/>
      <c r="B166" s="7"/>
      <c r="C166" s="7"/>
      <c r="D166" s="7"/>
      <c r="E166" s="7"/>
      <c r="F166" s="7"/>
      <c r="G166" s="7"/>
      <c r="H166" s="7"/>
      <c r="I166" s="7"/>
      <c r="J166" s="7"/>
      <c r="K166" s="7"/>
      <c r="L166" s="7"/>
      <c r="M166" s="7"/>
      <c r="N166" s="7"/>
      <c r="O166" s="7"/>
    </row>
    <row r="167" spans="1:15" x14ac:dyDescent="0.35">
      <c r="A167" s="11"/>
      <c r="B167" s="7"/>
      <c r="C167" s="7"/>
      <c r="D167" s="7"/>
      <c r="E167" s="7"/>
      <c r="F167" s="7"/>
      <c r="G167" s="7"/>
      <c r="H167" s="7"/>
      <c r="I167" s="7"/>
      <c r="J167" s="7"/>
      <c r="K167" s="7"/>
      <c r="L167" s="7"/>
      <c r="M167" s="7"/>
      <c r="N167" s="7"/>
      <c r="O167" s="7"/>
    </row>
    <row r="168" spans="1:15" x14ac:dyDescent="0.35">
      <c r="A168" s="11"/>
      <c r="B168" s="7"/>
      <c r="C168" s="7"/>
      <c r="D168" s="7"/>
      <c r="E168" s="7"/>
      <c r="F168" s="7"/>
      <c r="G168" s="7"/>
      <c r="H168" s="7"/>
      <c r="I168" s="7"/>
      <c r="J168" s="7"/>
      <c r="K168" s="7"/>
      <c r="L168" s="7"/>
      <c r="M168" s="7"/>
      <c r="N168" s="7"/>
      <c r="O168" s="7"/>
    </row>
    <row r="169" spans="1:15" x14ac:dyDescent="0.35">
      <c r="A169" s="11"/>
      <c r="B169" s="7"/>
      <c r="C169" s="7"/>
      <c r="D169" s="7"/>
      <c r="E169" s="7"/>
      <c r="F169" s="7"/>
      <c r="G169" s="7"/>
      <c r="H169" s="7"/>
      <c r="I169" s="7"/>
      <c r="J169" s="7"/>
      <c r="K169" s="7"/>
      <c r="L169" s="7"/>
      <c r="M169" s="7"/>
      <c r="N169" s="7"/>
      <c r="O169" s="7"/>
    </row>
    <row r="170" spans="1:15" x14ac:dyDescent="0.35">
      <c r="A170" s="11"/>
      <c r="B170" s="7"/>
      <c r="C170" s="7"/>
      <c r="D170" s="7"/>
      <c r="E170" s="7"/>
      <c r="F170" s="7"/>
      <c r="G170" s="7"/>
      <c r="H170" s="7"/>
      <c r="I170" s="7"/>
      <c r="J170" s="7"/>
      <c r="K170" s="7"/>
      <c r="L170" s="7"/>
      <c r="M170" s="7"/>
      <c r="N170" s="7"/>
      <c r="O170" s="7"/>
    </row>
    <row r="171" spans="1:15" x14ac:dyDescent="0.35">
      <c r="A171" s="11"/>
      <c r="B171" s="7"/>
      <c r="C171" s="7"/>
      <c r="D171" s="7"/>
      <c r="E171" s="7"/>
      <c r="F171" s="7"/>
      <c r="G171" s="7"/>
      <c r="H171" s="7"/>
      <c r="I171" s="7"/>
      <c r="J171" s="7"/>
      <c r="K171" s="7"/>
      <c r="L171" s="7"/>
      <c r="M171" s="7"/>
      <c r="N171" s="7"/>
      <c r="O171" s="7"/>
    </row>
    <row r="172" spans="1:15" x14ac:dyDescent="0.35">
      <c r="A172" s="11"/>
      <c r="B172" s="7"/>
      <c r="C172" s="7"/>
      <c r="D172" s="7"/>
      <c r="E172" s="7"/>
      <c r="F172" s="7"/>
      <c r="G172" s="7"/>
      <c r="H172" s="7"/>
      <c r="I172" s="7"/>
      <c r="J172" s="7"/>
      <c r="K172" s="7"/>
      <c r="L172" s="7"/>
      <c r="M172" s="7"/>
      <c r="N172" s="7"/>
      <c r="O172" s="7"/>
    </row>
    <row r="173" spans="1:15" x14ac:dyDescent="0.35">
      <c r="A173" s="11"/>
      <c r="B173" s="7"/>
      <c r="C173" s="7"/>
      <c r="D173" s="7"/>
      <c r="E173" s="7"/>
      <c r="F173" s="7"/>
      <c r="G173" s="7"/>
      <c r="H173" s="7"/>
      <c r="I173" s="7"/>
      <c r="J173" s="7"/>
      <c r="K173" s="7"/>
      <c r="L173" s="7"/>
      <c r="M173" s="7"/>
      <c r="N173" s="7"/>
      <c r="O173" s="7"/>
    </row>
    <row r="174" spans="1:15" x14ac:dyDescent="0.35">
      <c r="A174" s="11"/>
      <c r="B174" s="7"/>
      <c r="C174" s="7"/>
      <c r="D174" s="7"/>
      <c r="E174" s="7"/>
      <c r="F174" s="7"/>
      <c r="G174" s="7"/>
      <c r="H174" s="7"/>
      <c r="I174" s="7"/>
      <c r="J174" s="7"/>
      <c r="K174" s="7"/>
      <c r="L174" s="7"/>
      <c r="M174" s="7"/>
      <c r="N174" s="7"/>
      <c r="O174" s="7"/>
    </row>
    <row r="175" spans="1:15" x14ac:dyDescent="0.35">
      <c r="A175" s="11"/>
      <c r="B175" s="7"/>
      <c r="C175" s="7"/>
      <c r="D175" s="7"/>
      <c r="E175" s="7"/>
      <c r="F175" s="7"/>
      <c r="G175" s="7"/>
      <c r="H175" s="7"/>
      <c r="I175" s="7"/>
      <c r="J175" s="7"/>
      <c r="K175" s="7"/>
      <c r="L175" s="7"/>
      <c r="M175" s="7"/>
      <c r="N175" s="7"/>
      <c r="O175" s="7"/>
    </row>
    <row r="176" spans="1:15" x14ac:dyDescent="0.35">
      <c r="A176" s="11"/>
      <c r="B176" s="7"/>
      <c r="C176" s="7"/>
      <c r="D176" s="7"/>
      <c r="E176" s="7"/>
      <c r="F176" s="7"/>
      <c r="G176" s="7"/>
      <c r="H176" s="7"/>
      <c r="I176" s="7"/>
      <c r="J176" s="7"/>
      <c r="K176" s="7"/>
      <c r="L176" s="7"/>
      <c r="M176" s="7"/>
      <c r="N176" s="7"/>
      <c r="O176" s="7"/>
    </row>
    <row r="177" spans="1:15" x14ac:dyDescent="0.35">
      <c r="A177" s="11"/>
      <c r="B177" s="7"/>
      <c r="C177" s="7"/>
      <c r="D177" s="7"/>
      <c r="E177" s="7"/>
      <c r="F177" s="7"/>
      <c r="G177" s="7"/>
      <c r="H177" s="7"/>
      <c r="I177" s="7"/>
      <c r="J177" s="7"/>
      <c r="K177" s="7"/>
      <c r="L177" s="7"/>
      <c r="M177" s="7"/>
      <c r="N177" s="7"/>
      <c r="O177" s="7"/>
    </row>
    <row r="178" spans="1:15" x14ac:dyDescent="0.35">
      <c r="A178" s="11"/>
      <c r="B178" s="7"/>
      <c r="C178" s="7"/>
      <c r="D178" s="7"/>
      <c r="E178" s="7"/>
      <c r="F178" s="7"/>
      <c r="G178" s="7"/>
      <c r="H178" s="7"/>
      <c r="I178" s="7"/>
      <c r="J178" s="7"/>
      <c r="K178" s="7"/>
      <c r="L178" s="7"/>
      <c r="M178" s="7"/>
      <c r="N178" s="7"/>
      <c r="O178" s="7"/>
    </row>
    <row r="179" spans="1:15" x14ac:dyDescent="0.35">
      <c r="A179" s="11"/>
      <c r="B179" s="7"/>
      <c r="C179" s="7"/>
      <c r="D179" s="7"/>
      <c r="E179" s="7"/>
      <c r="F179" s="7"/>
      <c r="G179" s="7"/>
      <c r="H179" s="7"/>
      <c r="I179" s="7"/>
      <c r="J179" s="7"/>
      <c r="K179" s="7"/>
      <c r="L179" s="7"/>
      <c r="M179" s="7"/>
      <c r="N179" s="7"/>
      <c r="O179" s="7"/>
    </row>
    <row r="180" spans="1:15" x14ac:dyDescent="0.35">
      <c r="A180" s="11"/>
      <c r="B180" s="7"/>
      <c r="C180" s="7"/>
      <c r="D180" s="7"/>
      <c r="E180" s="7"/>
      <c r="F180" s="7"/>
      <c r="G180" s="7"/>
      <c r="H180" s="7"/>
      <c r="I180" s="7"/>
      <c r="J180" s="7"/>
      <c r="K180" s="7"/>
      <c r="L180" s="7"/>
      <c r="M180" s="7"/>
      <c r="N180" s="7"/>
      <c r="O180" s="7"/>
    </row>
    <row r="181" spans="1:15" x14ac:dyDescent="0.35">
      <c r="A181" s="11"/>
      <c r="B181" s="7"/>
      <c r="C181" s="7"/>
      <c r="D181" s="7"/>
      <c r="E181" s="7"/>
      <c r="F181" s="7"/>
      <c r="G181" s="7"/>
      <c r="H181" s="7"/>
      <c r="I181" s="7"/>
      <c r="J181" s="7"/>
      <c r="K181" s="7"/>
      <c r="L181" s="7"/>
      <c r="M181" s="7"/>
      <c r="N181" s="7"/>
      <c r="O181" s="7"/>
    </row>
    <row r="182" spans="1:15" x14ac:dyDescent="0.35">
      <c r="A182" s="11"/>
      <c r="B182" s="7"/>
      <c r="C182" s="7"/>
      <c r="D182" s="7"/>
      <c r="E182" s="7"/>
      <c r="F182" s="7"/>
      <c r="G182" s="7"/>
      <c r="H182" s="7"/>
      <c r="I182" s="7"/>
      <c r="J182" s="7"/>
      <c r="K182" s="7"/>
      <c r="L182" s="7"/>
      <c r="M182" s="7"/>
      <c r="N182" s="7"/>
      <c r="O182" s="7"/>
    </row>
    <row r="183" spans="1:15" x14ac:dyDescent="0.35">
      <c r="A183" s="11"/>
      <c r="B183" s="7"/>
      <c r="C183" s="7"/>
      <c r="D183" s="7"/>
      <c r="E183" s="7"/>
      <c r="F183" s="7"/>
      <c r="G183" s="7"/>
      <c r="H183" s="7"/>
      <c r="I183" s="7"/>
      <c r="J183" s="7"/>
      <c r="K183" s="7"/>
      <c r="L183" s="7"/>
      <c r="M183" s="7"/>
      <c r="N183" s="7"/>
      <c r="O183" s="7"/>
    </row>
    <row r="184" spans="1:15" x14ac:dyDescent="0.35">
      <c r="A184" s="11"/>
      <c r="B184" s="7"/>
      <c r="C184" s="7"/>
      <c r="D184" s="7"/>
      <c r="E184" s="7"/>
      <c r="F184" s="7"/>
      <c r="G184" s="7"/>
      <c r="H184" s="7"/>
      <c r="I184" s="7"/>
      <c r="J184" s="7"/>
      <c r="K184" s="7"/>
      <c r="L184" s="7"/>
      <c r="M184" s="7"/>
      <c r="N184" s="7"/>
      <c r="O184" s="7"/>
    </row>
    <row r="185" spans="1:15" x14ac:dyDescent="0.35">
      <c r="A185" s="11"/>
      <c r="B185" s="7"/>
      <c r="C185" s="7"/>
      <c r="D185" s="7"/>
      <c r="E185" s="7"/>
      <c r="F185" s="7"/>
      <c r="G185" s="7"/>
      <c r="H185" s="7"/>
      <c r="I185" s="7"/>
      <c r="J185" s="7"/>
      <c r="K185" s="7"/>
      <c r="L185" s="7"/>
      <c r="M185" s="7"/>
      <c r="N185" s="7"/>
      <c r="O185" s="7"/>
    </row>
    <row r="186" spans="1:15" x14ac:dyDescent="0.35">
      <c r="A186" s="11"/>
      <c r="B186" s="7"/>
      <c r="C186" s="7"/>
      <c r="D186" s="7"/>
      <c r="E186" s="7"/>
      <c r="F186" s="7"/>
      <c r="G186" s="7"/>
      <c r="H186" s="7"/>
      <c r="I186" s="7"/>
      <c r="J186" s="7"/>
      <c r="K186" s="7"/>
      <c r="L186" s="7"/>
      <c r="M186" s="7"/>
      <c r="N186" s="7"/>
      <c r="O186" s="7"/>
    </row>
    <row r="187" spans="1:15" x14ac:dyDescent="0.35">
      <c r="A187" s="11"/>
      <c r="B187" s="7"/>
      <c r="C187" s="7"/>
      <c r="D187" s="7"/>
      <c r="E187" s="7"/>
      <c r="F187" s="7"/>
      <c r="G187" s="7"/>
      <c r="H187" s="7"/>
      <c r="I187" s="7"/>
      <c r="J187" s="7"/>
      <c r="K187" s="7"/>
      <c r="L187" s="7"/>
      <c r="M187" s="7"/>
      <c r="N187" s="7"/>
      <c r="O187" s="7"/>
    </row>
    <row r="188" spans="1:15" x14ac:dyDescent="0.35">
      <c r="A188" s="11"/>
      <c r="B188" s="7"/>
      <c r="C188" s="7"/>
      <c r="D188" s="7"/>
      <c r="E188" s="7"/>
      <c r="F188" s="7"/>
      <c r="G188" s="7"/>
      <c r="H188" s="7"/>
      <c r="I188" s="7"/>
      <c r="J188" s="7"/>
      <c r="K188" s="7"/>
      <c r="L188" s="7"/>
      <c r="M188" s="7"/>
      <c r="N188" s="7"/>
      <c r="O188" s="7"/>
    </row>
    <row r="189" spans="1:15" x14ac:dyDescent="0.35">
      <c r="A189" s="11"/>
      <c r="B189" s="7"/>
      <c r="C189" s="7"/>
      <c r="D189" s="7"/>
      <c r="E189" s="7"/>
      <c r="F189" s="7"/>
      <c r="G189" s="7"/>
      <c r="H189" s="7"/>
      <c r="I189" s="7"/>
      <c r="J189" s="7"/>
      <c r="K189" s="7"/>
      <c r="L189" s="7"/>
      <c r="M189" s="7"/>
      <c r="N189" s="7"/>
      <c r="O189" s="7"/>
    </row>
    <row r="190" spans="1:15" x14ac:dyDescent="0.35">
      <c r="A190" s="11"/>
      <c r="B190" s="7"/>
      <c r="C190" s="7"/>
      <c r="D190" s="7"/>
      <c r="E190" s="7"/>
      <c r="F190" s="7"/>
      <c r="G190" s="7"/>
      <c r="H190" s="7"/>
      <c r="I190" s="7"/>
      <c r="J190" s="7"/>
      <c r="K190" s="7"/>
      <c r="L190" s="7"/>
      <c r="M190" s="7"/>
      <c r="N190" s="7"/>
      <c r="O190" s="7"/>
    </row>
    <row r="191" spans="1:15" x14ac:dyDescent="0.35">
      <c r="A191" s="11"/>
      <c r="B191" s="7"/>
      <c r="C191" s="7"/>
      <c r="D191" s="7"/>
      <c r="E191" s="7"/>
      <c r="F191" s="7"/>
      <c r="G191" s="7"/>
      <c r="H191" s="7"/>
      <c r="I191" s="7"/>
      <c r="J191" s="7"/>
      <c r="K191" s="7"/>
      <c r="L191" s="7"/>
      <c r="M191" s="7"/>
      <c r="N191" s="7"/>
      <c r="O191" s="7"/>
    </row>
    <row r="192" spans="1:15" x14ac:dyDescent="0.35">
      <c r="A192" s="11"/>
      <c r="B192" s="7"/>
      <c r="C192" s="7"/>
      <c r="D192" s="7"/>
      <c r="E192" s="7"/>
      <c r="F192" s="7"/>
      <c r="G192" s="7"/>
      <c r="H192" s="7"/>
      <c r="I192" s="7"/>
      <c r="J192" s="7"/>
      <c r="K192" s="7"/>
      <c r="L192" s="7"/>
      <c r="M192" s="7"/>
      <c r="N192" s="7"/>
      <c r="O192" s="7"/>
    </row>
    <row r="193" spans="1:15" x14ac:dyDescent="0.35">
      <c r="A193" s="11"/>
      <c r="B193" s="7"/>
      <c r="C193" s="7"/>
      <c r="D193" s="7"/>
      <c r="E193" s="7"/>
      <c r="F193" s="7"/>
      <c r="G193" s="7"/>
      <c r="H193" s="7"/>
      <c r="I193" s="7"/>
      <c r="J193" s="7"/>
      <c r="K193" s="7"/>
      <c r="L193" s="7"/>
      <c r="M193" s="7"/>
      <c r="N193" s="7"/>
      <c r="O193" s="7"/>
    </row>
    <row r="194" spans="1:15" x14ac:dyDescent="0.35">
      <c r="A194" s="11"/>
      <c r="B194" s="7"/>
      <c r="C194" s="7"/>
      <c r="D194" s="7"/>
      <c r="E194" s="7"/>
      <c r="F194" s="7"/>
      <c r="G194" s="7"/>
      <c r="H194" s="7"/>
      <c r="I194" s="7"/>
      <c r="J194" s="7"/>
      <c r="K194" s="7"/>
      <c r="L194" s="7"/>
      <c r="M194" s="7"/>
      <c r="N194" s="7"/>
      <c r="O194" s="7"/>
    </row>
    <row r="195" spans="1:15" x14ac:dyDescent="0.35">
      <c r="A195" s="11"/>
      <c r="B195" s="7"/>
      <c r="C195" s="7"/>
      <c r="D195" s="7"/>
      <c r="E195" s="7"/>
      <c r="F195" s="7"/>
      <c r="G195" s="7"/>
      <c r="H195" s="7"/>
      <c r="I195" s="7"/>
      <c r="J195" s="7"/>
      <c r="K195" s="7"/>
      <c r="L195" s="7"/>
      <c r="M195" s="7"/>
      <c r="N195" s="7"/>
      <c r="O195" s="7"/>
    </row>
    <row r="196" spans="1:15" x14ac:dyDescent="0.35">
      <c r="A196" s="11"/>
      <c r="B196" s="7"/>
      <c r="C196" s="7"/>
      <c r="D196" s="7"/>
      <c r="E196" s="7"/>
      <c r="F196" s="7"/>
      <c r="G196" s="7"/>
      <c r="H196" s="7"/>
      <c r="I196" s="7"/>
      <c r="J196" s="7"/>
      <c r="K196" s="7"/>
      <c r="L196" s="7"/>
      <c r="M196" s="7"/>
      <c r="N196" s="7"/>
      <c r="O196" s="7"/>
    </row>
    <row r="197" spans="1:15" x14ac:dyDescent="0.35">
      <c r="A197" s="11"/>
      <c r="B197" s="7"/>
      <c r="C197" s="7"/>
      <c r="D197" s="7"/>
      <c r="E197" s="7"/>
      <c r="F197" s="7"/>
      <c r="G197" s="7"/>
      <c r="H197" s="7"/>
      <c r="I197" s="7"/>
      <c r="J197" s="7"/>
      <c r="K197" s="7"/>
      <c r="L197" s="7"/>
      <c r="M197" s="7"/>
      <c r="N197" s="7"/>
      <c r="O197" s="7"/>
    </row>
    <row r="198" spans="1:15" x14ac:dyDescent="0.35">
      <c r="A198" s="11"/>
      <c r="B198" s="7"/>
      <c r="C198" s="7"/>
      <c r="D198" s="7"/>
      <c r="E198" s="7"/>
      <c r="F198" s="7"/>
      <c r="G198" s="7"/>
      <c r="H198" s="7"/>
      <c r="I198" s="7"/>
      <c r="J198" s="7"/>
      <c r="K198" s="7"/>
      <c r="L198" s="7"/>
      <c r="M198" s="7"/>
      <c r="N198" s="7"/>
      <c r="O198" s="7"/>
    </row>
    <row r="199" spans="1:15" x14ac:dyDescent="0.35">
      <c r="A199" s="11"/>
      <c r="B199" s="7"/>
      <c r="C199" s="7"/>
      <c r="D199" s="7"/>
      <c r="E199" s="7"/>
      <c r="F199" s="7"/>
      <c r="G199" s="7"/>
      <c r="H199" s="7"/>
      <c r="I199" s="7"/>
      <c r="J199" s="7"/>
      <c r="K199" s="7"/>
      <c r="L199" s="7"/>
      <c r="M199" s="7"/>
      <c r="N199" s="7"/>
      <c r="O199" s="7"/>
    </row>
    <row r="200" spans="1:15" x14ac:dyDescent="0.35">
      <c r="A200" s="11"/>
      <c r="B200" s="7"/>
      <c r="C200" s="7"/>
      <c r="D200" s="7"/>
      <c r="E200" s="7"/>
      <c r="F200" s="7"/>
      <c r="G200" s="7"/>
      <c r="H200" s="7"/>
      <c r="I200" s="7"/>
      <c r="J200" s="7"/>
      <c r="K200" s="7"/>
      <c r="L200" s="7"/>
      <c r="M200" s="7"/>
      <c r="N200" s="7"/>
      <c r="O200" s="7"/>
    </row>
  </sheetData>
  <pageMargins left="0.7" right="0.7" top="0.75" bottom="0.75" header="0.3" footer="0.3"/>
  <pageSetup paperSize="9" orientation="portrait" horizontalDpi="300" verticalDpi="30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85</vt:i4>
      </vt:variant>
    </vt:vector>
  </HeadingPairs>
  <TitlesOfParts>
    <vt:vector size="85" baseType="lpstr">
      <vt:lpstr>Readme</vt:lpstr>
      <vt:lpstr>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83</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Wealth in Scotland 2020-2022 tables</dc:title>
  <dc:subject>Official Statistics</dc:subject>
  <dc:creator>Maike Waldmann</dc:creator>
  <cp:keywords>wealth statistics; wealth inequality; debt; housing wealth; pensions; financial vulnerability; unmanageable debt</cp:keywords>
  <cp:lastModifiedBy>Shona Rennie</cp:lastModifiedBy>
  <dcterms:created xsi:type="dcterms:W3CDTF">2024-09-30T09:01:29Z</dcterms:created>
  <dcterms:modified xsi:type="dcterms:W3CDTF">2025-08-01T08:02:00Z</dcterms:modified>
</cp:coreProperties>
</file>